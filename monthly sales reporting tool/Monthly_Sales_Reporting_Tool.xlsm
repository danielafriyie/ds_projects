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GRANDPA-SENIOR\Desktop\Udemy - Unlock Excel VBA and Excel Macros 2020-2\14. Main Project #2 Sales Regional Reporting Tool\"/>
    </mc:Choice>
  </mc:AlternateContent>
  <xr:revisionPtr revIDLastSave="0" documentId="13_ncr:1_{D2F2F048-3B9E-4921-8AF7-12742D4C9D60}" xr6:coauthVersionLast="45" xr6:coauthVersionMax="45" xr10:uidLastSave="{00000000-0000-0000-0000-000000000000}"/>
  <bookViews>
    <workbookView xWindow="-120" yWindow="-120" windowWidth="24240" windowHeight="13140" xr2:uid="{00000000-000D-0000-FFFF-FFFF00000000}"/>
  </bookViews>
  <sheets>
    <sheet name="Start" sheetId="6" r:id="rId1"/>
    <sheet name="Summary" sheetId="3" state="veryHidden" r:id="rId2"/>
    <sheet name="RegionTemp" sheetId="7" r:id="rId3"/>
    <sheet name="Map" sheetId="2" state="veryHidden" r:id="rId4"/>
    <sheet name="NewData" sheetId="4" state="veryHidden" r:id="rId5"/>
    <sheet name="Instructions" sheetId="11" state="hidden" r:id="rId6"/>
  </sheets>
  <definedNames>
    <definedName name="_xlnm._FilterDatabase" localSheetId="1" hidden="1">Summary!$A$1:$H$36</definedName>
    <definedName name="MRegion">Map!$G$9:$G$10</definedName>
    <definedName name="Slicer_Company_Name">#N/A</definedName>
  </definedNames>
  <calcPr calcId="181029"/>
  <pivotCaches>
    <pivotCache cacheId="175"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L3" i="7"/>
  <c r="M3" i="7" s="1"/>
  <c r="L4" i="7"/>
  <c r="M4" i="7" s="1"/>
  <c r="L5" i="7"/>
  <c r="L6" i="7"/>
  <c r="L7" i="7"/>
  <c r="M7" i="7" s="1"/>
  <c r="L8" i="7"/>
  <c r="M8" i="7" s="1"/>
  <c r="L9" i="7"/>
  <c r="L10" i="7"/>
  <c r="L11" i="7"/>
  <c r="M11" i="7" s="1"/>
  <c r="L12" i="7"/>
  <c r="M12" i="7" s="1"/>
  <c r="L13" i="7"/>
  <c r="L14" i="7"/>
  <c r="L15" i="7"/>
  <c r="M15" i="7" s="1"/>
  <c r="L16" i="7"/>
  <c r="M16" i="7" s="1"/>
  <c r="L17" i="7"/>
  <c r="L18" i="7"/>
  <c r="L19" i="7"/>
  <c r="M19" i="7" s="1"/>
  <c r="L20" i="7"/>
  <c r="M20" i="7" s="1"/>
  <c r="L21" i="7"/>
  <c r="L22" i="7"/>
  <c r="L23" i="7"/>
  <c r="M23" i="7" s="1"/>
  <c r="L24" i="7"/>
  <c r="M24" i="7" s="1"/>
  <c r="L25" i="7"/>
  <c r="L26" i="7"/>
  <c r="L27" i="7"/>
  <c r="M27" i="7" s="1"/>
  <c r="L28" i="7"/>
  <c r="M28" i="7" s="1"/>
  <c r="L29" i="7"/>
  <c r="L30" i="7"/>
  <c r="L31" i="7"/>
  <c r="M31" i="7" s="1"/>
  <c r="L32" i="7"/>
  <c r="M32" i="7" s="1"/>
  <c r="L33" i="7"/>
  <c r="L34" i="7"/>
  <c r="L35" i="7"/>
  <c r="M35" i="7" s="1"/>
  <c r="L36" i="7"/>
  <c r="M36" i="7" s="1"/>
  <c r="M5" i="7"/>
  <c r="M6" i="7"/>
  <c r="M9" i="7"/>
  <c r="M10" i="7"/>
  <c r="M13" i="7"/>
  <c r="M14" i="7"/>
  <c r="M17" i="7"/>
  <c r="M18" i="7"/>
  <c r="M21" i="7"/>
  <c r="M22" i="7"/>
  <c r="M25" i="7"/>
  <c r="M26" i="7"/>
  <c r="M29" i="7"/>
  <c r="M30" i="7"/>
  <c r="M33" i="7"/>
  <c r="M34" i="7"/>
  <c r="L2" i="7" l="1"/>
  <c r="M2" i="7" s="1"/>
  <c r="K2" i="7"/>
  <c r="J2" i="7"/>
  <c r="I2" i="7"/>
</calcChain>
</file>

<file path=xl/sharedStrings.xml><?xml version="1.0" encoding="utf-8"?>
<sst xmlns="http://schemas.openxmlformats.org/spreadsheetml/2006/main" count="313" uniqueCount="119">
  <si>
    <t>Description</t>
  </si>
  <si>
    <t>USD</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</si>
  <si>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</si>
  <si>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</si>
  <si>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</si>
  <si>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</si>
  <si>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</si>
  <si>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</si>
  <si>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</si>
  <si>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</si>
  <si>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</si>
  <si>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</si>
  <si>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</si>
  <si>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</si>
  <si>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</si>
  <si>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</si>
  <si>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</si>
  <si>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</si>
  <si>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</si>
  <si>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</si>
  <si>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</si>
  <si>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</si>
  <si>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</si>
  <si>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</si>
  <si>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</si>
  <si>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</si>
  <si>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</si>
  <si>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</si>
  <si>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</si>
  <si>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</si>
  <si>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</si>
  <si>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</si>
  <si>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</si>
  <si>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</si>
  <si>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</si>
  <si>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</si>
  <si>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</si>
  <si>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</si>
  <si>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</si>
  <si>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</si>
  <si>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</si>
  <si>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Quantity</t>
  </si>
  <si>
    <t>Sales Value</t>
  </si>
  <si>
    <t>Reject</t>
  </si>
  <si>
    <t>Customer Name</t>
  </si>
  <si>
    <t>Dellicia</t>
  </si>
  <si>
    <t>Meta Creations</t>
  </si>
  <si>
    <t>Erma</t>
  </si>
  <si>
    <t>Edson</t>
  </si>
  <si>
    <t>Customer code</t>
  </si>
  <si>
    <t>Company code</t>
  </si>
  <si>
    <t>EUR to $</t>
  </si>
  <si>
    <t>Article code</t>
  </si>
  <si>
    <t>Region</t>
  </si>
  <si>
    <t>America</t>
  </si>
  <si>
    <t>Europe</t>
  </si>
  <si>
    <t>Aim of the tool</t>
  </si>
  <si>
    <t>Your Challenge</t>
  </si>
  <si>
    <t>Regions</t>
  </si>
  <si>
    <t>Werner Strauss</t>
  </si>
  <si>
    <t>Aida GmbH</t>
  </si>
  <si>
    <t>Liebher</t>
  </si>
  <si>
    <t>• An interactive Pivot based regional report for the regional managers of USA and Europe</t>
  </si>
  <si>
    <t>2. The data extract you receive uses codes. The managers want to see the description and not the code.</t>
  </si>
  <si>
    <t>3. You need to combine the data for each region and create a separate Excel report for it.</t>
  </si>
  <si>
    <t>6. You need to split each region to it's own file. European Regional managers should not see the US data</t>
  </si>
  <si>
    <t>7. You need to get all the data in CSV format and save it on the directory.</t>
  </si>
  <si>
    <t>5. Top management would like to have a one-pager report that is hardcoded (macro free workbook).</t>
  </si>
  <si>
    <t>4. Regional managers would like to have Pivot based reports so they can slice and dice through the information (macro free workbook).</t>
  </si>
  <si>
    <t xml:space="preserve">8. Since these are a lot of tasks, and data for each company might come in at different points, you'd like to keep track </t>
  </si>
  <si>
    <t>of which tasks you've already completed.</t>
  </si>
  <si>
    <t>Imagine this Situation…</t>
  </si>
  <si>
    <t xml:space="preserve">There is a lot of copying, pasting, looking up values from master data (i.e. mapping codes to get descriptions). </t>
  </si>
  <si>
    <t>The tool should automate the entire process to 2 minutes - even with data changes.</t>
  </si>
  <si>
    <t>… and sometimes you might make mistakes…. (after all the task is a bit boring…)</t>
  </si>
  <si>
    <r>
      <t xml:space="preserve">Possibility of manual mistakes due to boredom: </t>
    </r>
    <r>
      <rPr>
        <sz val="11"/>
        <color rgb="FF92D050"/>
        <rFont val="Arial"/>
        <family val="2"/>
        <scheme val="minor"/>
      </rPr>
      <t>Eliminated</t>
    </r>
  </si>
  <si>
    <r>
      <t xml:space="preserve">Frustration because data was updated after sending (you had to repeat the process): </t>
    </r>
    <r>
      <rPr>
        <sz val="11"/>
        <color rgb="FF92D050"/>
        <rFont val="Arial"/>
        <family val="2"/>
        <scheme val="minor"/>
      </rPr>
      <t>Eliminated</t>
    </r>
  </si>
  <si>
    <t>- You are a Sales Controller working at the headquarters of Urban Creations.</t>
  </si>
  <si>
    <t>- Urban Creations owns 4 companies. 2 are in the USA and 2 are in Europe.</t>
  </si>
  <si>
    <t>- At the end of each month you receive system extracts for each company that covers some key sales &amp; customer parameters.</t>
  </si>
  <si>
    <t>1. There are two USA and two European companies. You need to get all the information in one place.</t>
  </si>
  <si>
    <t>Average monthly exchange rates</t>
  </si>
  <si>
    <t>• A hard coded regional overview report for top management</t>
  </si>
  <si>
    <t>- In addition to this, you need to generate a CSV file of all the data to be loaded to your central ERP system for year-to-date reporting.</t>
  </si>
  <si>
    <t>- Based on this data, you need to create the following Monthly Reports:</t>
  </si>
  <si>
    <r>
      <t>Time savings:</t>
    </r>
    <r>
      <rPr>
        <sz val="11"/>
        <color rgb="FF92D050"/>
        <rFont val="Arial"/>
        <family val="2"/>
        <scheme val="minor"/>
      </rPr>
      <t xml:space="preserve"> 4 plus hours</t>
    </r>
  </si>
  <si>
    <t>All of this will cost you a lot of time if done manually (possibly around 4 hours - plus data changes are not uncommon)</t>
  </si>
  <si>
    <t>Sometimes you have to repeat the whole process because wrong data was sent;</t>
  </si>
  <si>
    <t>Internal code</t>
  </si>
  <si>
    <t/>
  </si>
  <si>
    <t>Sales Local Currency</t>
  </si>
  <si>
    <t>Article Description</t>
  </si>
  <si>
    <t>Sales US Dollars</t>
  </si>
  <si>
    <t>Row Labels</t>
  </si>
  <si>
    <t>Grand Total</t>
  </si>
  <si>
    <t>Customer</t>
  </si>
  <si>
    <t>Sales</t>
  </si>
  <si>
    <t xml:space="preserve"> </t>
  </si>
  <si>
    <t>Regional Sales By Customer</t>
  </si>
  <si>
    <t>Article Overview By Company</t>
  </si>
  <si>
    <t>Article</t>
  </si>
  <si>
    <t>$ Sales</t>
  </si>
  <si>
    <t xml:space="preserve">Quantity </t>
  </si>
  <si>
    <t xml:space="preserve">Reject </t>
  </si>
  <si>
    <t>Reject %</t>
  </si>
  <si>
    <t>Sales in US Dollar</t>
  </si>
  <si>
    <t>Regional Overview</t>
  </si>
  <si>
    <t>Task Completed</t>
  </si>
  <si>
    <t>A50</t>
  </si>
  <si>
    <t>A56</t>
  </si>
  <si>
    <t>A60</t>
  </si>
  <si>
    <t>A59</t>
  </si>
  <si>
    <t>A57</t>
  </si>
  <si>
    <t>A53</t>
  </si>
  <si>
    <t>A54</t>
  </si>
  <si>
    <t>A55</t>
  </si>
  <si>
    <t>A51</t>
  </si>
  <si>
    <t>A52</t>
  </si>
  <si>
    <t>A58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</si>
</sst>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43" formatCode="_(* #,##0.00_);_(* \(#,##0.00\);_(* &quot;-&quot;??_);_(@_)"/>
    <numFmt numFmtId="164" formatCode="0.0%"/>
    <numFmt numFmtId="165" formatCode="_(* #,##0_);_(* \(#,##0\);_(* &quot;-&quot;??_);_(@_)"/>
  </numFmts>
  <fonts count="15" x14ac:knownFonts="1">
    <font>
      <sz val="10"/>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b/>
      <sz val="14"/>
      <color theme="1"/>
      <name val="Arial"/>
      <family val="2"/>
      <scheme val="minor"/>
    </font>
    <font>
      <sz val="10"/>
      <color theme="8" tint="-0.249977111117893"/>
      <name val="Arial"/>
      <family val="2"/>
      <scheme val="minor"/>
    </font>
    <font>
      <sz val="11"/>
      <color rgb="FF92D050"/>
      <name val="Arial"/>
      <family val="2"/>
      <scheme val="minor"/>
    </font>
    <font>
      <sz val="10"/>
      <color rgb="FF000000"/>
      <name val="Arial"/>
      <family val="2"/>
    </font>
    <font>
      <b/>
      <sz val="10"/>
      <color theme="0"/>
      <name val="Arial"/>
      <family val="2"/>
      <scheme val="minor"/>
    </font>
    <font>
      <b/>
      <sz val="10"/>
      <color theme="1"/>
      <name val="Arial"/>
      <family val="2"/>
      <scheme val="minor"/>
    </font>
  </fonts>
  <fills count="6">
    <fill>
      <patternFill patternType="none"/>
    </fill>
    <fill>
      <patternFill patternType="gray125"/>
    </fill>
    <fill>
      <patternFill patternType="solid">
        <fgColor theme="1" tint="0.34998626667073579"/>
        <bgColor indexed="64"/>
      </patternFill>
    </fill>
    <fill>
      <patternFill patternType="solid">
        <fgColor theme="0"/>
        <bgColor indexed="64"/>
      </patternFill>
    </fill>
    <fill>
      <patternFill patternType="solid">
        <fgColor rgb="FF002060"/>
        <bgColor indexed="64"/>
      </patternFill>
    </fill>
    <fill>
      <patternFill patternType="solid">
        <fgColor rgb="FF99CCFF"/>
        <bgColor indexed="64"/>
      </patternFill>
    </fill>
  </fills>
  <borders count="16">
    <border>
      <left/>
      <right/>
      <top/>
      <bottom/>
      <diagonal/>
    </border>
    <border>
      <left/>
      <right/>
      <top/>
      <bottom style="thin">
        <color indexed="64"/>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
      <left style="thin">
        <color rgb="FF999999"/>
      </left>
      <right/>
      <top style="thin">
        <color rgb="FF999999"/>
      </top>
      <bottom/>
      <diagonal/>
    </border>
    <border>
      <left style="thin">
        <color rgb="FF999999"/>
      </left>
      <right/>
      <top style="thin">
        <color indexed="65"/>
      </top>
      <bottom/>
      <diagonal/>
    </border>
    <border>
      <left/>
      <right style="thin">
        <color rgb="FF999999"/>
      </right>
      <top style="thin">
        <color rgb="FF999999"/>
      </top>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right/>
      <top style="thin">
        <color indexed="65"/>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style="thin">
        <color rgb="FF999999"/>
      </top>
      <bottom/>
      <diagonal/>
    </border>
    <border>
      <left style="thin">
        <color theme="1" tint="0.499984740745262"/>
      </left>
      <right/>
      <top style="thin">
        <color rgb="FF999999"/>
      </top>
      <bottom style="thin">
        <color rgb="FF999999"/>
      </bottom>
      <diagonal/>
    </border>
  </borders>
  <cellStyleXfs count="1">
    <xf numFmtId="0" fontId="0" fillId="0" borderId="0"/>
  </cellStyleXfs>
  <cellXfs count="63">
    <xf numFmtId="0" fontId="0" fillId="0" borderId="0" xfId="0"/>
    <xf numFmtId="0" fontId="3" fillId="0" borderId="0" xfId="0" applyFont="1"/>
    <xf numFmtId="0" fontId="0" fillId="0" borderId="1" xfId="0" applyBorder="1"/>
    <xf numFmtId="0" fontId="6" fillId="0" borderId="0" xfId="0" applyFont="1"/>
    <xf numFmtId="0" fontId="8" fillId="0" borderId="0" xfId="0" applyFont="1"/>
    <xf numFmtId="0" fontId="8" fillId="0" borderId="0" xfId="0" applyFont="1" applyBorder="1"/>
    <xf numFmtId="0" fontId="0" fillId="0" borderId="0" xfId="0" applyBorder="1"/>
    <xf numFmtId="0" fontId="0" fillId="0" borderId="0" xfId="0" applyNumberFormat="1" applyBorder="1"/>
    <xf numFmtId="0" fontId="0" fillId="2" borderId="0" xfId="0" applyFill="1"/>
    <xf numFmtId="0" fontId="0" fillId="3" borderId="2" xfId="0" applyFill="1" applyBorder="1"/>
    <xf numFmtId="0" fontId="9" fillId="3" borderId="3" xfId="0" quotePrefix="1" applyFont="1" applyFill="1" applyBorder="1"/>
    <xf numFmtId="0" fontId="9" fillId="3" borderId="3" xfId="0" applyFont="1" applyFill="1" applyBorder="1"/>
    <xf numFmtId="0" fontId="0" fillId="3" borderId="3" xfId="0" applyFill="1" applyBorder="1"/>
    <xf numFmtId="0" fontId="0" fillId="3" borderId="0" xfId="0" applyFill="1"/>
    <xf numFmtId="0" fontId="0" fillId="3" borderId="4" xfId="0" applyFill="1" applyBorder="1"/>
    <xf numFmtId="0" fontId="0" fillId="3" borderId="2" xfId="0" quotePrefix="1" applyFill="1" applyBorder="1"/>
    <xf numFmtId="0" fontId="0" fillId="3" borderId="3" xfId="0" quotePrefix="1" applyFill="1" applyBorder="1"/>
    <xf numFmtId="0" fontId="0" fillId="3" borderId="5" xfId="0" applyFill="1" applyBorder="1"/>
    <xf numFmtId="0" fontId="0" fillId="3" borderId="3" xfId="0" applyFill="1" applyBorder="1" applyAlignment="1">
      <alignment horizontal="left" indent="1"/>
    </xf>
    <xf numFmtId="0" fontId="0" fillId="3" borderId="3" xfId="0" applyFill="1" applyBorder="1" applyAlignment="1">
      <alignment horizontal="left" indent="2"/>
    </xf>
    <xf numFmtId="0" fontId="10" fillId="3" borderId="3" xfId="0" applyFont="1" applyFill="1" applyBorder="1"/>
    <xf numFmtId="0" fontId="2" fillId="3" borderId="3" xfId="0" applyFont="1" applyFill="1" applyBorder="1"/>
    <xf numFmtId="0" fontId="1" fillId="3" borderId="3" xfId="0" applyFont="1" applyFill="1" applyBorder="1"/>
    <xf numFmtId="14" fontId="0" fillId="0" borderId="0" xfId="0" applyNumberFormat="1"/>
    <xf numFmtId="0" fontId="7" fillId="4" borderId="0" xfId="0" applyFont="1" applyFill="1" applyBorder="1" applyAlignment="1">
      <alignment horizontal="center" vertical="center"/>
    </xf>
    <xf numFmtId="0" fontId="0" fillId="0" borderId="0" xfId="0" applyNumberFormat="1"/>
    <xf numFmtId="0" fontId="0" fillId="0" borderId="0" xfId="0" applyAlignment="1">
      <alignment horizontal="left"/>
    </xf>
    <xf numFmtId="10" fontId="0" fillId="0" borderId="0" xfId="0" applyNumberFormat="1"/>
    <xf numFmtId="164" fontId="0" fillId="0" borderId="0" xfId="0" applyNumberFormat="1"/>
    <xf numFmtId="0" fontId="0" fillId="4" borderId="0" xfId="0" applyFill="1"/>
    <xf numFmtId="0" fontId="13" fillId="4" borderId="0" xfId="0" applyFont="1" applyFill="1"/>
    <xf numFmtId="0" fontId="13" fillId="4" borderId="0" xfId="0" applyFont="1" applyFill="1" applyAlignment="1">
      <alignment horizontal="left"/>
    </xf>
    <xf numFmtId="0" fontId="13" fillId="4" borderId="6" xfId="0" applyFont="1" applyFill="1" applyBorder="1"/>
    <xf numFmtId="0" fontId="13" fillId="4" borderId="8" xfId="0" applyFont="1" applyFill="1" applyBorder="1"/>
    <xf numFmtId="44" fontId="13" fillId="4" borderId="9" xfId="0" applyNumberFormat="1" applyFont="1" applyFill="1" applyBorder="1"/>
    <xf numFmtId="10" fontId="13" fillId="4" borderId="10" xfId="0" applyNumberFormat="1" applyFont="1" applyFill="1" applyBorder="1"/>
    <xf numFmtId="44" fontId="0" fillId="3" borderId="6" xfId="0" applyNumberFormat="1" applyFill="1" applyBorder="1"/>
    <xf numFmtId="44" fontId="0" fillId="3" borderId="7" xfId="0" applyNumberFormat="1" applyFill="1" applyBorder="1"/>
    <xf numFmtId="0" fontId="13" fillId="4" borderId="0" xfId="0" applyFont="1" applyFill="1" applyAlignment="1">
      <alignment vertical="center"/>
    </xf>
    <xf numFmtId="0" fontId="13" fillId="4" borderId="0" xfId="0" applyFont="1" applyFill="1" applyAlignment="1">
      <alignment horizontal="left" vertical="center"/>
    </xf>
    <xf numFmtId="9" fontId="0" fillId="3" borderId="11" xfId="0" applyNumberFormat="1" applyFill="1" applyBorder="1"/>
    <xf numFmtId="0" fontId="0" fillId="0" borderId="12" xfId="0" applyBorder="1"/>
    <xf numFmtId="0" fontId="0" fillId="0" borderId="13" xfId="0" applyBorder="1"/>
    <xf numFmtId="0" fontId="13" fillId="4" borderId="14" xfId="0" applyFont="1" applyFill="1" applyBorder="1"/>
    <xf numFmtId="0" fontId="13" fillId="4" borderId="15" xfId="0" applyFont="1" applyFill="1" applyBorder="1" applyAlignment="1">
      <alignment horizontal="left"/>
    </xf>
    <xf numFmtId="0" fontId="13" fillId="4" borderId="0" xfId="0" applyNumberFormat="1" applyFont="1" applyFill="1"/>
    <xf numFmtId="43" fontId="0" fillId="0" borderId="0" xfId="0" applyNumberFormat="1"/>
    <xf numFmtId="43" fontId="13" fillId="4" borderId="0" xfId="0" applyNumberFormat="1" applyFont="1" applyFill="1"/>
    <xf numFmtId="165" fontId="0" fillId="0" borderId="0" xfId="0" applyNumberFormat="1"/>
    <xf numFmtId="165" fontId="13" fillId="4" borderId="0" xfId="0" applyNumberFormat="1" applyFont="1" applyFill="1"/>
    <xf numFmtId="0" fontId="0" fillId="0" borderId="0" xfId="0" applyAlignment="1">
      <alignment horizontal="left" indent="1"/>
    </xf>
    <xf numFmtId="164" fontId="13" fillId="4" borderId="0" xfId="0" applyNumberFormat="1" applyFont="1" applyFill="1"/>
    <xf numFmtId="0" fontId="13" fillId="4" borderId="0" xfId="0" applyFont="1" applyFill="1" applyAlignment="1">
      <alignment horizontal="right"/>
    </xf>
    <xf numFmtId="0" fontId="0" fillId="0" borderId="0" xfId="0" applyAlignment="1">
      <alignment horizontal="left" indent="2"/>
    </xf>
    <xf numFmtId="9" fontId="0" fillId="3" borderId="0" xfId="0" applyNumberFormat="1" applyFill="1" applyBorder="1"/>
    <xf numFmtId="0" fontId="0" fillId="3" borderId="0" xfId="0" applyFill="1" applyBorder="1" applyAlignment="1">
      <alignment horizontal="left"/>
    </xf>
    <xf numFmtId="0" fontId="0" fillId="3" borderId="11" xfId="0" applyFill="1" applyBorder="1" applyAlignment="1">
      <alignment horizontal="left"/>
    </xf>
    <xf numFmtId="0" fontId="14" fillId="0" borderId="1" xfId="0" applyFont="1" applyBorder="1"/>
    <xf numFmtId="0" fontId="13" fillId="4" borderId="0" xfId="0" applyFont="1" applyFill="1" applyBorder="1" applyAlignment="1">
      <alignment horizontal="center" vertical="center" wrapText="1"/>
    </xf>
    <xf numFmtId="0" fontId="0" fillId="4" borderId="0" xfId="0" applyFill="1" applyBorder="1"/>
    <xf numFmtId="0" fontId="4" fillId="4" borderId="0" xfId="0" applyFont="1" applyFill="1" applyBorder="1"/>
    <xf numFmtId="0" fontId="4" fillId="4" borderId="2" xfId="0" applyNumberFormat="1" applyFont="1" applyFill="1" applyBorder="1" applyAlignment="1" applyProtection="1">
      <alignment horizontal="center" vertical="center" wrapText="1"/>
      <protection locked="0"/>
    </xf>
    <xf numFmtId="49" fontId="5" fillId="5" borderId="0" xfId="0" applyNumberFormat="1" applyFont="1" applyFill="1" applyBorder="1" applyAlignment="1">
      <alignment horizontal="left" vertical="center" wrapText="1"/>
    </xf>
  </cellXfs>
  <cellStyles count="1">
    <cellStyle name="Normal" xfId="0" builtinId="0" customBuiltin="1"/>
  </cellStyles>
  <dxfs count="96">
    <dxf>
      <numFmt numFmtId="19" formatCode="dd/mm/yy"/>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8"/>
        <color theme="1"/>
        <name val="Arial"/>
        <family val="2"/>
        <scheme val="none"/>
      </font>
    </dxf>
    <dxf>
      <border outline="0">
        <bottom style="medium">
          <color indexed="64"/>
        </bottom>
      </border>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family val="2"/>
        <scheme val="minor"/>
      </font>
      <fill>
        <patternFill patternType="solid">
          <fgColor indexed="64"/>
          <bgColor rgb="FF002060"/>
        </patternFill>
      </fill>
      <alignment horizontal="center" vertical="center" textRotation="0" wrapText="0" indent="0" justifyLastLine="0" shrinkToFit="0" readingOrder="0"/>
    </dxf>
    <dxf>
      <numFmt numFmtId="165" formatCode="_(* #,##0_);_(* \(#,##0\);_(* &quot;-&quot;??_);_(@_)"/>
    </dxf>
    <dxf>
      <numFmt numFmtId="35" formatCode="_(* #,##0.00_);_(* \(#,##0.00\);_(* &quot;-&quot;??_);_(@_)"/>
    </dxf>
    <dxf>
      <font>
        <b/>
      </font>
    </dxf>
    <dxf>
      <font>
        <b/>
      </font>
    </dxf>
    <dxf>
      <font>
        <color theme="0"/>
      </font>
    </dxf>
    <dxf>
      <font>
        <color theme="0"/>
      </font>
    </dxf>
    <dxf>
      <fill>
        <patternFill patternType="solid">
          <bgColor rgb="FF002060"/>
        </patternFill>
      </fill>
    </dxf>
    <dxf>
      <fill>
        <patternFill patternType="solid">
          <bgColor rgb="FF002060"/>
        </patternFill>
      </fill>
    </dxf>
    <dxf>
      <font>
        <color theme="0"/>
      </font>
    </dxf>
    <dxf>
      <font>
        <color theme="0"/>
      </font>
    </dxf>
    <dxf>
      <font>
        <b/>
      </font>
    </dxf>
    <dxf>
      <font>
        <b/>
      </font>
    </dxf>
    <dxf>
      <fill>
        <patternFill patternType="solid">
          <bgColor rgb="FF002060"/>
        </patternFill>
      </fill>
    </dxf>
    <dxf>
      <fill>
        <patternFill patternType="solid">
          <bgColor rgb="FF002060"/>
        </patternFill>
      </fill>
    </dxf>
    <dxf>
      <border>
        <left/>
        <right/>
        <top/>
        <bottom/>
      </border>
    </dxf>
    <dxf>
      <border>
        <right/>
        <top/>
        <bottom/>
      </border>
    </dxf>
    <dxf>
      <border>
        <left style="thin">
          <color theme="1" tint="0.499984740745262"/>
        </left>
      </border>
    </dxf>
    <dxf>
      <border>
        <left style="thin">
          <color theme="1" tint="0.499984740745262"/>
        </left>
      </border>
    </dxf>
    <dxf>
      <fill>
        <patternFill patternType="solid">
          <bgColor theme="0"/>
        </patternFill>
      </fill>
    </dxf>
    <dxf>
      <fill>
        <patternFill>
          <bgColor rgb="FF002060"/>
        </patternFill>
      </fill>
    </dxf>
    <dxf>
      <fill>
        <patternFill>
          <bgColor rgb="FF002060"/>
        </patternFill>
      </fill>
    </dxf>
    <dxf>
      <font>
        <color theme="0"/>
      </font>
    </dxf>
    <dxf>
      <font>
        <color theme="0"/>
      </font>
    </dxf>
    <dxf>
      <font>
        <color theme="0"/>
      </font>
    </dxf>
    <dxf>
      <font>
        <color theme="0"/>
      </font>
    </dxf>
    <dxf>
      <fill>
        <patternFill>
          <bgColor rgb="FF002060"/>
        </patternFill>
      </fill>
    </dxf>
    <dxf>
      <fill>
        <patternFill>
          <bgColor rgb="FF002060"/>
        </patternFill>
      </fill>
    </dxf>
    <dxf>
      <font>
        <color auto="1"/>
      </font>
    </dxf>
    <dxf>
      <fill>
        <patternFill>
          <bgColor theme="0"/>
        </patternFill>
      </fill>
    </dxf>
    <dxf>
      <font>
        <color auto="1"/>
      </font>
    </dxf>
    <dxf>
      <font>
        <color auto="1"/>
      </font>
    </dxf>
    <dxf>
      <fill>
        <patternFill>
          <bgColor theme="0"/>
        </patternFill>
      </fill>
    </dxf>
    <dxf>
      <fill>
        <patternFill>
          <bgColor theme="0"/>
        </patternFill>
      </fill>
    </dxf>
    <dxf>
      <font>
        <b/>
      </font>
    </dxf>
    <dxf>
      <font>
        <color theme="0"/>
      </font>
    </dxf>
    <dxf>
      <fill>
        <patternFill patternType="solid">
          <bgColor rgb="FF002060"/>
        </patternFill>
      </fill>
    </dxf>
    <dxf>
      <font>
        <b/>
      </font>
    </dxf>
    <dxf>
      <font>
        <b/>
      </font>
    </dxf>
    <dxf>
      <font>
        <color theme="0"/>
      </font>
    </dxf>
    <dxf>
      <font>
        <color theme="0"/>
      </font>
    </dxf>
    <dxf>
      <fill>
        <patternFill patternType="solid">
          <bgColor rgb="FF002060"/>
        </patternFill>
      </fill>
    </dxf>
    <dxf>
      <fill>
        <patternFill patternType="solid">
          <bgColor rgb="FF002060"/>
        </patternFill>
      </fill>
    </dxf>
    <dxf>
      <numFmt numFmtId="34" formatCode="_(&quot;$&quot;* #,##0.00_);_(&quot;$&quot;* \(#,##0.00\);_(&quot;$&quot;* &quot;-&quot;??_);_(@_)"/>
    </dxf>
    <dxf>
      <numFmt numFmtId="13" formatCode="0%"/>
    </dxf>
    <dxf>
      <numFmt numFmtId="165" formatCode="_(* #,##0_);_(* \(#,##0\);_(* &quot;-&quot;??_);_(@_)"/>
    </dxf>
    <dxf>
      <numFmt numFmtId="35" formatCode="_(* #,##0.00_);_(* \(#,##0.00\);_(* &quot;-&quot;??_);_(@_)"/>
    </dxf>
    <dxf>
      <font>
        <b/>
      </font>
    </dxf>
    <dxf>
      <font>
        <b/>
      </font>
    </dxf>
    <dxf>
      <font>
        <color theme="0"/>
      </font>
    </dxf>
    <dxf>
      <font>
        <color theme="0"/>
      </font>
    </dxf>
    <dxf>
      <fill>
        <patternFill patternType="solid">
          <bgColor rgb="FF002060"/>
        </patternFill>
      </fill>
    </dxf>
    <dxf>
      <fill>
        <patternFill patternType="solid">
          <bgColor rgb="FF002060"/>
        </patternFill>
      </fill>
    </dxf>
    <dxf>
      <font>
        <b/>
      </font>
    </dxf>
    <dxf>
      <font>
        <b/>
      </font>
    </dxf>
    <dxf>
      <font>
        <color theme="0"/>
      </font>
    </dxf>
    <dxf>
      <font>
        <color theme="0"/>
      </font>
    </dxf>
    <dxf>
      <fill>
        <patternFill patternType="solid">
          <bgColor rgb="FF002060"/>
        </patternFill>
      </fill>
    </dxf>
    <dxf>
      <fill>
        <patternFill patternType="solid">
          <bgColor rgb="FF002060"/>
        </patternFill>
      </fill>
    </dxf>
    <dxf>
      <alignment horizontal="right"/>
    </dxf>
    <dxf>
      <font>
        <b/>
      </font>
    </dxf>
    <dxf>
      <font>
        <b/>
      </font>
    </dxf>
    <dxf>
      <font>
        <color theme="0"/>
      </font>
    </dxf>
    <dxf>
      <font>
        <color theme="0"/>
      </font>
    </dxf>
    <dxf>
      <fill>
        <patternFill patternType="solid">
          <bgColor rgb="FF002060"/>
        </patternFill>
      </fill>
    </dxf>
    <dxf>
      <fill>
        <patternFill patternType="solid">
          <bgColor rgb="FF002060"/>
        </patternFill>
      </fill>
    </dxf>
    <dxf>
      <font>
        <b/>
      </font>
    </dxf>
    <dxf>
      <font>
        <b/>
      </font>
    </dxf>
    <dxf>
      <font>
        <color theme="0"/>
      </font>
    </dxf>
    <dxf>
      <font>
        <color theme="0"/>
      </font>
    </dxf>
    <dxf>
      <fill>
        <patternFill patternType="solid">
          <bgColor rgb="FF002060"/>
        </patternFill>
      </fill>
    </dxf>
    <dxf>
      <fill>
        <patternFill patternType="solid">
          <bgColor rgb="FF002060"/>
        </patternFill>
      </fill>
    </dxf>
    <dxf>
      <numFmt numFmtId="164" formatCode="0.0%"/>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4" defaultPivotStyle="PivotStyleLight16">
    <tableStyle name="Dark Blue" pivot="0" table="0" count="8" xr9:uid="{F0553864-EA6E-4C4C-AEBB-0AEA794BC084}"/>
    <tableStyle name="MyPivotStyle" table="0" count="11" xr9:uid="{00000000-0011-0000-FFFF-FFFF00000000}">
      <tableStyleElement type="wholeTable" dxfId="95"/>
      <tableStyleElement type="headerRow" dxfId="94"/>
      <tableStyleElement type="totalRow" dxfId="93"/>
      <tableStyleElement type="firstRowStripe" dxfId="92"/>
      <tableStyleElement type="firstColumnStripe" dxfId="91"/>
      <tableStyleElement type="firstSubtotalRow" dxfId="90"/>
      <tableStyleElement type="secondSubtotalRow" dxfId="89"/>
      <tableStyleElement type="firstRowSubheading" dxfId="88"/>
      <tableStyleElement type="secondRowSubheading" dxfId="87"/>
      <tableStyleElement type="pageFieldLabels" dxfId="86"/>
      <tableStyleElement type="pageFieldValues" dxfId="85"/>
    </tableStyle>
    <tableStyle name="MySlicer" pivot="0" table="0" count="10" xr9:uid="{00000000-0011-0000-FFFF-FFFF01000000}">
      <tableStyleElement type="wholeTable" dxfId="84"/>
      <tableStyleElement type="headerRow" dxfId="83"/>
    </tableStyle>
    <tableStyle name="Table Style 1" pivot="0" count="1" xr9:uid="{00000000-0011-0000-FFFF-FFFF02000000}">
      <tableStyleElement type="wholeTable" dxfId="82"/>
    </tableStyle>
  </tableStyles>
  <colors>
    <mruColors>
      <color rgb="FF99CCFF"/>
      <color rgb="FFFBFBFB"/>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dxf>
          <font>
            <color rgb="FF002060"/>
          </font>
          <border>
            <left style="thin">
              <color rgb="FF002060"/>
            </left>
            <right style="thin">
              <color rgb="FF002060"/>
            </right>
            <top style="thin">
              <color rgb="FF002060"/>
            </top>
            <bottom style="thin">
              <color rgb="FF002060"/>
            </bottom>
          </border>
        </dxf>
        <dxf>
          <font>
            <color rgb="FF002060"/>
          </font>
          <fill>
            <patternFill>
              <bgColor rgb="FF002060"/>
            </patternFill>
          </fill>
        </dxf>
        <dxf>
          <font>
            <color rgb="FF002060"/>
          </font>
          <border>
            <left style="thin">
              <color rgb="FF002060"/>
            </left>
            <right style="thin">
              <color rgb="FF002060"/>
            </right>
            <top style="thin">
              <color rgb="FF002060"/>
            </top>
            <bottom style="thin">
              <color rgb="FF002060"/>
            </bottom>
          </border>
        </dxf>
        <dxf>
          <font>
            <color theme="0"/>
          </font>
          <fill>
            <patternFill>
              <bgColor rgb="FF002060"/>
            </patternFill>
          </fill>
        </dxf>
        <dxf>
          <font>
            <color theme="0"/>
          </font>
          <fill>
            <patternFill>
              <bgColor rgb="FF002060"/>
            </patternFill>
          </fill>
        </dxf>
        <dxf>
          <font>
            <color theme="0"/>
          </font>
          <fill>
            <patternFill>
              <bgColor rgb="FF002060"/>
            </patternFill>
          </fill>
        </dxf>
        <dxf>
          <font>
            <color rgb="FF002060"/>
          </font>
          <border>
            <left style="thin">
              <color rgb="FF002060"/>
            </left>
            <right style="thin">
              <color rgb="FF002060"/>
            </right>
            <top style="thin">
              <color rgb="FF002060"/>
            </top>
            <bottom style="thin">
              <color rgb="FF002060"/>
            </bottom>
          </border>
        </dxf>
        <dxf>
          <font>
            <color rgb="FF002060"/>
          </font>
          <border>
            <left style="thin">
              <color rgb="FF002060"/>
            </left>
            <right style="thin">
              <color rgb="FF002060"/>
            </right>
            <top style="thin">
              <color rgb="FF002060"/>
            </top>
            <bottom style="thin">
              <color rgb="FF002060"/>
            </bottom>
          </border>
        </dxf>
      </x14:dxfs>
    </ext>
    <ext xmlns:x14="http://schemas.microsoft.com/office/spreadsheetml/2009/9/main" uri="{EB79DEF2-80B8-43e5-95BD-54CBDDF9020C}">
      <x14:slicerStyles defaultSlicerStyle="SlicerStyleLight1">
        <x14:slicerStyle name="Dark Blue">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[2.4 Monthly_Sales_Reporting_Template_Tool_Start.xlsm.xlsm]RegionTemp!PTRegion</c:name>
    <c:fmtId val="0"/>
  </c:pivotSource>
  <c:chart>
    <c:autoTitleDeleted val="0"/>
    <c:pivotFmts>
      <c:pivotFmt>
        <c:idx val="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2060"/>
          </a:solidFill>
          <a:ln>
            <a:noFill/>
          </a:ln>
          <a:effectLst/>
        </c:spPr>
        <c:marker>
          <c:symbol val="none"/>
        </c:marker>
        <c:dLbl>
          <c:idx val="0"/>
          <c:numFmt formatCode="[&gt;999999]#,,&quot;&quot;;&quot;&quot;"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002060"/>
          </a:solidFill>
          <a:ln>
            <a:noFill/>
          </a:ln>
          <a:effectLst/>
        </c:spPr>
      </c:pivotFmt>
      <c:pivotFmt>
        <c:idx val="3"/>
      </c:pivotFmt>
      <c:pivotFmt>
        <c:idx val="4"/>
        <c:spPr>
          <a:solidFill>
            <a:srgbClr val="002060"/>
          </a:solidFill>
          <a:ln>
            <a:noFill/>
          </a:ln>
          <a:effectLst/>
        </c:spPr>
      </c:pivotFmt>
      <c:pivotFmt>
        <c:idx val="5"/>
        <c:spPr>
          <a:solidFill>
            <a:srgbClr val="002060"/>
          </a:solidFill>
          <a:ln>
            <a:noFill/>
          </a:ln>
          <a:effectLst/>
        </c:spPr>
      </c:pivotFmt>
    </c:pivotFmts>
    <c:plotArea>
      <c:layout>
        <c:manualLayout>
          <c:layoutTarget val="inner"/>
          <c:xMode val="edge"/>
          <c:yMode val="edge"/>
          <c:x val="0.15743698686810423"/>
          <c:y val="5.0925925925925923E-2"/>
          <c:w val="0.64643395430482831"/>
          <c:h val="0.89814814814814814"/>
        </c:manualLayout>
      </c:layout>
      <c:barChart>
        <c:barDir val="bar"/>
        <c:grouping val="clustered"/>
        <c:varyColors val="0"/>
        <c:ser>
          <c:idx val="0"/>
          <c:order val="0"/>
          <c:tx>
            <c:strRef>
              <c:f>RegionTemp!$Q$4</c:f>
              <c:strCache>
                <c:ptCount val="1"/>
                <c:pt idx="0">
                  <c:v>Sales</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RegionTemp!$P$5:$P$8</c:f>
              <c:strCache>
                <c:ptCount val="3"/>
                <c:pt idx="0">
                  <c:v>Aida GmbH</c:v>
                </c:pt>
                <c:pt idx="1">
                  <c:v>Werner Strauss</c:v>
                </c:pt>
                <c:pt idx="2">
                  <c:v>Edson</c:v>
                </c:pt>
              </c:strCache>
            </c:strRef>
          </c:cat>
          <c:val>
            <c:numRef>
              <c:f>RegionTemp!$Q$5:$Q$8</c:f>
              <c:numCache>
                <c:formatCode>_("$"* #,##0.00_);_("$"* \(#,##0.00\);_("$"* "-"??_);_(@_)</c:formatCode>
                <c:ptCount val="3"/>
                <c:pt idx="0">
                  <c:v>128702.83000000002</c:v>
                </c:pt>
                <c:pt idx="1">
                  <c:v>378530.11</c:v>
                </c:pt>
                <c:pt idx="2">
                  <c:v>36846.080000000002</c:v>
                </c:pt>
              </c:numCache>
            </c:numRef>
          </c:val>
          <c:extLst>
            <c:ext xmlns:c16="http://schemas.microsoft.com/office/drawing/2014/chart" uri="{C3380CC4-5D6E-409C-BE32-E72D297353CC}">
              <c16:uniqueId val="{00000000-EFDC-4558-BC32-B7493C2E028C}"/>
            </c:ext>
          </c:extLst>
        </c:ser>
        <c:ser>
          <c:idx val="1"/>
          <c:order val="1"/>
          <c:tx>
            <c:strRef>
              <c:f>RegionTemp!$R$4</c:f>
              <c:strCache>
                <c:ptCount val="1"/>
                <c:pt idx="0">
                  <c:v> </c:v>
                </c:pt>
              </c:strCache>
            </c:strRef>
          </c:tx>
          <c:spPr>
            <a:solidFill>
              <a:srgbClr val="002060"/>
            </a:solidFill>
            <a:ln>
              <a:noFill/>
            </a:ln>
            <a:effectLst/>
          </c:spPr>
          <c:invertIfNegative val="0"/>
          <c:dLbls>
            <c:numFmt formatCode="[&gt;999999]#,,&quot;&quot;;&quot;&quot;"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RegionTemp!$P$5:$P$8</c:f>
              <c:strCache>
                <c:ptCount val="3"/>
                <c:pt idx="0">
                  <c:v>Aida GmbH</c:v>
                </c:pt>
                <c:pt idx="1">
                  <c:v>Werner Strauss</c:v>
                </c:pt>
                <c:pt idx="2">
                  <c:v>Edson</c:v>
                </c:pt>
              </c:strCache>
            </c:strRef>
          </c:cat>
          <c:val>
            <c:numRef>
              <c:f>RegionTemp!$R$5:$R$8</c:f>
              <c:numCache>
                <c:formatCode>0%</c:formatCode>
                <c:ptCount val="3"/>
                <c:pt idx="0">
                  <c:v>0.2365517236816079</c:v>
                </c:pt>
                <c:pt idx="1">
                  <c:v>0.6957263487204487</c:v>
                </c:pt>
                <c:pt idx="2">
                  <c:v>6.7721927597943404E-2</c:v>
                </c:pt>
              </c:numCache>
            </c:numRef>
          </c:val>
          <c:extLst>
            <c:ext xmlns:c16="http://schemas.microsoft.com/office/drawing/2014/chart" uri="{C3380CC4-5D6E-409C-BE32-E72D297353CC}">
              <c16:uniqueId val="{00000003-EFDC-4558-BC32-B7493C2E028C}"/>
            </c:ext>
          </c:extLst>
        </c:ser>
        <c:dLbls>
          <c:dLblPos val="outEnd"/>
          <c:showLegendKey val="0"/>
          <c:showVal val="1"/>
          <c:showCatName val="0"/>
          <c:showSerName val="0"/>
          <c:showPercent val="0"/>
          <c:showBubbleSize val="0"/>
        </c:dLbls>
        <c:gapWidth val="100"/>
        <c:overlap val="100"/>
        <c:axId val="440603456"/>
        <c:axId val="576330112"/>
      </c:barChart>
      <c:catAx>
        <c:axId val="44060345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76330112"/>
        <c:crosses val="autoZero"/>
        <c:auto val="1"/>
        <c:lblAlgn val="ctr"/>
        <c:lblOffset val="100"/>
        <c:noMultiLvlLbl val="0"/>
      </c:catAx>
      <c:valAx>
        <c:axId val="576330112"/>
        <c:scaling>
          <c:orientation val="minMax"/>
        </c:scaling>
        <c:delete val="1"/>
        <c:axPos val="b"/>
        <c:numFmt formatCode="_(&quot;$&quot;* #,##0.00_);_(&quot;$&quot;* \(#,##0.00\);_(&quot;$&quot;* &quot;-&quot;??_);_(@_)" sourceLinked="1"/>
        <c:majorTickMark val="out"/>
        <c:minorTickMark val="none"/>
        <c:tickLblPos val="nextTo"/>
        <c:crossAx val="440603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Tool</a:t>
          </a:r>
          <a:endParaRPr lang="en-US" sz="1400">
            <a:solidFill>
              <a:schemeClr val="tx1">
                <a:lumMod val="85000"/>
                <a:lumOff val="15000"/>
              </a:schemeClr>
            </a:solidFill>
          </a:endParaRPr>
        </a:p>
      </xdr:txBody>
    </xdr:sp>
    <xdr:clientData/>
  </xdr:oneCellAnchor>
  <xdr:twoCellAnchor>
    <xdr:from>
      <xdr:col>1</xdr:col>
      <xdr:colOff>121227</xdr:colOff>
      <xdr:row>2</xdr:row>
      <xdr:rowOff>138547</xdr:rowOff>
    </xdr:from>
    <xdr:to>
      <xdr:col>3</xdr:col>
      <xdr:colOff>207818</xdr:colOff>
      <xdr:row>8</xdr:row>
      <xdr:rowOff>8660</xdr:rowOff>
    </xdr:to>
    <xdr:sp macro="" textlink="">
      <xdr:nvSpPr>
        <xdr:cNvPr id="3" name="Rectangle: Top Corners One Rounded and One Snipped 2">
          <a:extLst>
            <a:ext uri="{FF2B5EF4-FFF2-40B4-BE49-F238E27FC236}">
              <a16:creationId xmlns:a16="http://schemas.microsoft.com/office/drawing/2014/main" id="{428EAA41-092D-4410-A1C7-DDD1E8FAC6E6}"/>
            </a:ext>
          </a:extLst>
        </xdr:cNvPr>
        <xdr:cNvSpPr/>
      </xdr:nvSpPr>
      <xdr:spPr>
        <a:xfrm>
          <a:off x="389659" y="649433"/>
          <a:ext cx="2017568" cy="857250"/>
        </a:xfrm>
        <a:prstGeom prst="snip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a:t>Import sales</a:t>
          </a:r>
          <a:r>
            <a:rPr lang="en-US" sz="1100" baseline="0"/>
            <a:t> data from sales document templates for one or more company in one go.</a:t>
          </a:r>
        </a:p>
      </xdr:txBody>
    </xdr:sp>
    <xdr:clientData/>
  </xdr:twoCellAnchor>
  <xdr:twoCellAnchor>
    <xdr:from>
      <xdr:col>3</xdr:col>
      <xdr:colOff>605559</xdr:colOff>
      <xdr:row>2</xdr:row>
      <xdr:rowOff>138547</xdr:rowOff>
    </xdr:from>
    <xdr:to>
      <xdr:col>7</xdr:col>
      <xdr:colOff>163945</xdr:colOff>
      <xdr:row>8</xdr:row>
      <xdr:rowOff>8660</xdr:rowOff>
    </xdr:to>
    <xdr:sp macro="" textlink="">
      <xdr:nvSpPr>
        <xdr:cNvPr id="10" name="Rectangle: Top Corners One Rounded and One Snipped 9">
          <a:extLst>
            <a:ext uri="{FF2B5EF4-FFF2-40B4-BE49-F238E27FC236}">
              <a16:creationId xmlns:a16="http://schemas.microsoft.com/office/drawing/2014/main" id="{1C36299B-DE58-424C-A4A5-87FB37CC1BEA}"/>
            </a:ext>
          </a:extLst>
        </xdr:cNvPr>
        <xdr:cNvSpPr/>
      </xdr:nvSpPr>
      <xdr:spPr>
        <a:xfrm>
          <a:off x="2804968" y="649433"/>
          <a:ext cx="2017568" cy="857250"/>
        </a:xfrm>
        <a:prstGeom prst="snip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baseline="0"/>
            <a:t>Generate regional manager reports for each region. </a:t>
          </a:r>
          <a:r>
            <a:rPr lang="en-US" sz="800" i="1" baseline="0"/>
            <a:t>(Create pivot based excel file for regional managers and a hard coded file for top managers)</a:t>
          </a:r>
          <a:endParaRPr lang="en-US" sz="1100" baseline="0"/>
        </a:p>
      </xdr:txBody>
    </xdr:sp>
    <xdr:clientData/>
  </xdr:twoCellAnchor>
  <xdr:twoCellAnchor>
    <xdr:from>
      <xdr:col>8</xdr:col>
      <xdr:colOff>282864</xdr:colOff>
      <xdr:row>2</xdr:row>
      <xdr:rowOff>138547</xdr:rowOff>
    </xdr:from>
    <xdr:to>
      <xdr:col>11</xdr:col>
      <xdr:colOff>482023</xdr:colOff>
      <xdr:row>8</xdr:row>
      <xdr:rowOff>8660</xdr:rowOff>
    </xdr:to>
    <xdr:sp macro="" textlink="">
      <xdr:nvSpPr>
        <xdr:cNvPr id="11" name="Rectangle: Top Corners One Rounded and One Snipped 10">
          <a:extLst>
            <a:ext uri="{FF2B5EF4-FFF2-40B4-BE49-F238E27FC236}">
              <a16:creationId xmlns:a16="http://schemas.microsoft.com/office/drawing/2014/main" id="{9F858388-3FEB-45EC-B84F-93F5FA455146}"/>
            </a:ext>
          </a:extLst>
        </xdr:cNvPr>
        <xdr:cNvSpPr/>
      </xdr:nvSpPr>
      <xdr:spPr>
        <a:xfrm>
          <a:off x="5244523" y="649433"/>
          <a:ext cx="2017568" cy="857250"/>
        </a:xfrm>
        <a:prstGeom prst="snip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baseline="0"/>
            <a:t>Create CSV file for all data for the current month.</a:t>
          </a:r>
        </a:p>
      </xdr:txBody>
    </xdr:sp>
    <xdr:clientData/>
  </xdr:twoCellAnchor>
  <xdr:twoCellAnchor>
    <xdr:from>
      <xdr:col>12</xdr:col>
      <xdr:colOff>285750</xdr:colOff>
      <xdr:row>2</xdr:row>
      <xdr:rowOff>138547</xdr:rowOff>
    </xdr:from>
    <xdr:to>
      <xdr:col>15</xdr:col>
      <xdr:colOff>484909</xdr:colOff>
      <xdr:row>8</xdr:row>
      <xdr:rowOff>8660</xdr:rowOff>
    </xdr:to>
    <xdr:sp macro="" textlink="">
      <xdr:nvSpPr>
        <xdr:cNvPr id="12" name="Rectangle: Top Corners One Rounded and One Snipped 11">
          <a:extLst>
            <a:ext uri="{FF2B5EF4-FFF2-40B4-BE49-F238E27FC236}">
              <a16:creationId xmlns:a16="http://schemas.microsoft.com/office/drawing/2014/main" id="{FA346F29-A9D3-4EE2-9314-0F5CEAB4BCBD}"/>
            </a:ext>
          </a:extLst>
        </xdr:cNvPr>
        <xdr:cNvSpPr/>
      </xdr:nvSpPr>
      <xdr:spPr>
        <a:xfrm>
          <a:off x="7671955" y="649433"/>
          <a:ext cx="2017568" cy="857250"/>
        </a:xfrm>
        <a:prstGeom prst="snip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baseline="0"/>
            <a:t>Clears data.</a:t>
          </a:r>
        </a:p>
        <a:p>
          <a:pPr algn="l"/>
          <a:r>
            <a:rPr lang="en-US" sz="1100" baseline="0"/>
            <a:t>Admin - opens up the hidden tabs in case problem arise.</a:t>
          </a:r>
        </a:p>
      </xdr:txBody>
    </xdr:sp>
    <xdr:clientData/>
  </xdr:twoCellAnchor>
  <xdr:twoCellAnchor>
    <xdr:from>
      <xdr:col>1</xdr:col>
      <xdr:colOff>121227</xdr:colOff>
      <xdr:row>11</xdr:row>
      <xdr:rowOff>8659</xdr:rowOff>
    </xdr:from>
    <xdr:to>
      <xdr:col>3</xdr:col>
      <xdr:colOff>118630</xdr:colOff>
      <xdr:row>16</xdr:row>
      <xdr:rowOff>100445</xdr:rowOff>
    </xdr:to>
    <xdr:grpSp>
      <xdr:nvGrpSpPr>
        <xdr:cNvPr id="6" name="Group 5">
          <a:extLst>
            <a:ext uri="{FF2B5EF4-FFF2-40B4-BE49-F238E27FC236}">
              <a16:creationId xmlns:a16="http://schemas.microsoft.com/office/drawing/2014/main" id="{5490D5FA-3F34-4873-B940-CB3EB64DD602}"/>
            </a:ext>
          </a:extLst>
        </xdr:cNvPr>
        <xdr:cNvGrpSpPr/>
      </xdr:nvGrpSpPr>
      <xdr:grpSpPr>
        <a:xfrm>
          <a:off x="389659" y="2000250"/>
          <a:ext cx="1928380" cy="914400"/>
          <a:chOff x="34636" y="2017568"/>
          <a:chExt cx="1928380" cy="914400"/>
        </a:xfrm>
      </xdr:grpSpPr>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591416" y="2369127"/>
                <a:ext cx="1371600"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Sales</a:t>
                </a:r>
              </a:p>
            </xdr:txBody>
          </xdr:sp>
        </mc:Choice>
        <mc:Fallback/>
      </mc:AlternateContent>
      <xdr:pic macro="[0]!importSales">
        <xdr:nvPicPr>
          <xdr:cNvPr id="14" name="Graphic 13" descr="Open Folder">
            <a:extLst>
              <a:ext uri="{FF2B5EF4-FFF2-40B4-BE49-F238E27FC236}">
                <a16:creationId xmlns:a16="http://schemas.microsoft.com/office/drawing/2014/main" id="{B3BB87F0-8E04-4D40-ACDA-EE452B21DF2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4636" y="2017568"/>
            <a:ext cx="914400" cy="914400"/>
          </a:xfrm>
          <a:prstGeom prst="rect">
            <a:avLst/>
          </a:prstGeom>
        </xdr:spPr>
      </xdr:pic>
    </xdr:grpSp>
    <xdr:clientData/>
  </xdr:twoCellAnchor>
  <xdr:twoCellAnchor>
    <xdr:from>
      <xdr:col>3</xdr:col>
      <xdr:colOff>605559</xdr:colOff>
      <xdr:row>11</xdr:row>
      <xdr:rowOff>8659</xdr:rowOff>
    </xdr:from>
    <xdr:to>
      <xdr:col>7</xdr:col>
      <xdr:colOff>176068</xdr:colOff>
      <xdr:row>16</xdr:row>
      <xdr:rowOff>100445</xdr:rowOff>
    </xdr:to>
    <xdr:grpSp>
      <xdr:nvGrpSpPr>
        <xdr:cNvPr id="8" name="Group 7">
          <a:extLst>
            <a:ext uri="{FF2B5EF4-FFF2-40B4-BE49-F238E27FC236}">
              <a16:creationId xmlns:a16="http://schemas.microsoft.com/office/drawing/2014/main" id="{7B90163B-B340-4C12-90BB-9C9BF76951B8}"/>
            </a:ext>
          </a:extLst>
        </xdr:cNvPr>
        <xdr:cNvGrpSpPr/>
      </xdr:nvGrpSpPr>
      <xdr:grpSpPr>
        <a:xfrm>
          <a:off x="2804968" y="2000250"/>
          <a:ext cx="2029691" cy="914400"/>
          <a:chOff x="2597727" y="2164773"/>
          <a:chExt cx="2029691" cy="914400"/>
        </a:xfrm>
      </xdr:grpSpPr>
      <mc:AlternateContent xmlns:mc="http://schemas.openxmlformats.org/markup-compatibility/2006">
        <mc:Choice xmlns:a14="http://schemas.microsoft.com/office/drawing/2010/main" Requires="a14">
          <xdr:sp macro="" textlink="">
            <xdr:nvSpPr>
              <xdr:cNvPr id="1027" name="axRegion"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3377910" y="2746662"/>
                <a:ext cx="822960" cy="23206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3255818" y="2333626"/>
                <a:ext cx="1371600"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Report</a:t>
                </a:r>
              </a:p>
            </xdr:txBody>
          </xdr:sp>
        </mc:Choice>
        <mc:Fallback/>
      </mc:AlternateContent>
      <xdr:pic macro="[0]!createReports">
        <xdr:nvPicPr>
          <xdr:cNvPr id="17" name="Graphic 16" descr="Closed Book">
            <a:extLst>
              <a:ext uri="{FF2B5EF4-FFF2-40B4-BE49-F238E27FC236}">
                <a16:creationId xmlns:a16="http://schemas.microsoft.com/office/drawing/2014/main" id="{B18D6AFF-22CF-4555-A9A9-5036442FED3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97727" y="2164773"/>
            <a:ext cx="914400" cy="914400"/>
          </a:xfrm>
          <a:prstGeom prst="rect">
            <a:avLst/>
          </a:prstGeom>
        </xdr:spPr>
      </xdr:pic>
    </xdr:grpSp>
    <xdr:clientData/>
  </xdr:twoCellAnchor>
  <xdr:twoCellAnchor>
    <xdr:from>
      <xdr:col>8</xdr:col>
      <xdr:colOff>282864</xdr:colOff>
      <xdr:row>11</xdr:row>
      <xdr:rowOff>8659</xdr:rowOff>
    </xdr:from>
    <xdr:to>
      <xdr:col>11</xdr:col>
      <xdr:colOff>331355</xdr:colOff>
      <xdr:row>16</xdr:row>
      <xdr:rowOff>100445</xdr:rowOff>
    </xdr:to>
    <xdr:grpSp>
      <xdr:nvGrpSpPr>
        <xdr:cNvPr id="9" name="Group 8">
          <a:extLst>
            <a:ext uri="{FF2B5EF4-FFF2-40B4-BE49-F238E27FC236}">
              <a16:creationId xmlns:a16="http://schemas.microsoft.com/office/drawing/2014/main" id="{9C81B5EC-A6FF-49C0-8EC8-26DAC08E53E3}"/>
            </a:ext>
          </a:extLst>
        </xdr:cNvPr>
        <xdr:cNvGrpSpPr/>
      </xdr:nvGrpSpPr>
      <xdr:grpSpPr>
        <a:xfrm>
          <a:off x="5244523" y="2000250"/>
          <a:ext cx="1866900" cy="914400"/>
          <a:chOff x="4840432" y="2329295"/>
          <a:chExt cx="1866900" cy="914400"/>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AFC65B79-36AC-47FF-A9EE-90107FD8A85A}"/>
                  </a:ext>
                </a:extLst>
              </xdr:cNvPr>
              <xdr:cNvSpPr/>
            </xdr:nvSpPr>
            <xdr:spPr bwMode="auto">
              <a:xfrm>
                <a:off x="5335732" y="2595996"/>
                <a:ext cx="1371600"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CSV</a:t>
                </a:r>
              </a:p>
            </xdr:txBody>
          </xdr:sp>
        </mc:Choice>
        <mc:Fallback/>
      </mc:AlternateContent>
      <xdr:pic macro="[0]!createCSV">
        <xdr:nvPicPr>
          <xdr:cNvPr id="24" name="Graphic 23" descr="Document">
            <a:extLst>
              <a:ext uri="{FF2B5EF4-FFF2-40B4-BE49-F238E27FC236}">
                <a16:creationId xmlns:a16="http://schemas.microsoft.com/office/drawing/2014/main" id="{3AAC77A0-49AA-4557-B5F4-8306776D038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840432" y="2329295"/>
            <a:ext cx="914400" cy="914400"/>
          </a:xfrm>
          <a:prstGeom prst="rect">
            <a:avLst/>
          </a:prstGeom>
        </xdr:spPr>
      </xdr:pic>
    </xdr:grpSp>
    <xdr:clientData/>
  </xdr:twoCellAnchor>
  <xdr:twoCellAnchor>
    <xdr:from>
      <xdr:col>12</xdr:col>
      <xdr:colOff>373207</xdr:colOff>
      <xdr:row>18</xdr:row>
      <xdr:rowOff>86591</xdr:rowOff>
    </xdr:from>
    <xdr:to>
      <xdr:col>15</xdr:col>
      <xdr:colOff>484909</xdr:colOff>
      <xdr:row>24</xdr:row>
      <xdr:rowOff>13855</xdr:rowOff>
    </xdr:to>
    <xdr:grpSp>
      <xdr:nvGrpSpPr>
        <xdr:cNvPr id="15" name="Group 14">
          <a:extLst>
            <a:ext uri="{FF2B5EF4-FFF2-40B4-BE49-F238E27FC236}">
              <a16:creationId xmlns:a16="http://schemas.microsoft.com/office/drawing/2014/main" id="{8CDCEAD9-4EBE-40B2-B912-5C3EBEE1885D}"/>
            </a:ext>
          </a:extLst>
        </xdr:cNvPr>
        <xdr:cNvGrpSpPr/>
      </xdr:nvGrpSpPr>
      <xdr:grpSpPr>
        <a:xfrm>
          <a:off x="7759412" y="3229841"/>
          <a:ext cx="1930111" cy="914400"/>
          <a:chOff x="7195704" y="2459182"/>
          <a:chExt cx="1930111" cy="914400"/>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 uri="{FF2B5EF4-FFF2-40B4-BE49-F238E27FC236}">
                    <a16:creationId xmlns:a16="http://schemas.microsoft.com/office/drawing/2014/main" id="{6C63846A-08FD-4030-B4FA-9E5EF3E0F80B}"/>
                  </a:ext>
                </a:extLst>
              </xdr:cNvPr>
              <xdr:cNvSpPr/>
            </xdr:nvSpPr>
            <xdr:spPr bwMode="auto">
              <a:xfrm>
                <a:off x="7754215" y="2749262"/>
                <a:ext cx="1371600"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Data &amp; Tasks</a:t>
                </a:r>
              </a:p>
            </xdr:txBody>
          </xdr:sp>
        </mc:Choice>
        <mc:Fallback/>
      </mc:AlternateContent>
      <xdr:pic macro="[0]!clearOldMonth">
        <xdr:nvPicPr>
          <xdr:cNvPr id="26" name="Graphic 25" descr="Large paint brush">
            <a:extLst>
              <a:ext uri="{FF2B5EF4-FFF2-40B4-BE49-F238E27FC236}">
                <a16:creationId xmlns:a16="http://schemas.microsoft.com/office/drawing/2014/main" id="{F73662DF-5659-4A67-9063-D2120964EB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195704" y="2459182"/>
            <a:ext cx="914400" cy="914400"/>
          </a:xfrm>
          <a:prstGeom prst="rect">
            <a:avLst/>
          </a:prstGeom>
        </xdr:spPr>
      </xdr:pic>
    </xdr:grpSp>
    <xdr:clientData/>
  </xdr:twoCellAnchor>
  <xdr:twoCellAnchor>
    <xdr:from>
      <xdr:col>12</xdr:col>
      <xdr:colOff>285750</xdr:colOff>
      <xdr:row>11</xdr:row>
      <xdr:rowOff>8659</xdr:rowOff>
    </xdr:from>
    <xdr:to>
      <xdr:col>15</xdr:col>
      <xdr:colOff>310861</xdr:colOff>
      <xdr:row>16</xdr:row>
      <xdr:rowOff>100445</xdr:rowOff>
    </xdr:to>
    <xdr:grpSp>
      <xdr:nvGrpSpPr>
        <xdr:cNvPr id="16" name="Group 15">
          <a:extLst>
            <a:ext uri="{FF2B5EF4-FFF2-40B4-BE49-F238E27FC236}">
              <a16:creationId xmlns:a16="http://schemas.microsoft.com/office/drawing/2014/main" id="{FDE25830-C70B-45F8-B03C-2D0078F8ADE4}"/>
            </a:ext>
          </a:extLst>
        </xdr:cNvPr>
        <xdr:cNvGrpSpPr/>
      </xdr:nvGrpSpPr>
      <xdr:grpSpPr>
        <a:xfrm>
          <a:off x="7671955" y="2000250"/>
          <a:ext cx="1843520" cy="914400"/>
          <a:chOff x="7438160" y="2000250"/>
          <a:chExt cx="1843520" cy="914400"/>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 uri="{FF2B5EF4-FFF2-40B4-BE49-F238E27FC236}">
                    <a16:creationId xmlns:a16="http://schemas.microsoft.com/office/drawing/2014/main" id="{D8768C2D-A606-4E4B-A01D-34D73CBC7A6A}"/>
                  </a:ext>
                </a:extLst>
              </xdr:cNvPr>
              <xdr:cNvSpPr/>
            </xdr:nvSpPr>
            <xdr:spPr bwMode="auto">
              <a:xfrm>
                <a:off x="7910080" y="2270414"/>
                <a:ext cx="1371600" cy="36714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Admin</a:t>
                </a:r>
              </a:p>
            </xdr:txBody>
          </xdr:sp>
        </mc:Choice>
        <mc:Fallback/>
      </mc:AlternateContent>
      <xdr:pic macro="[0]!adminTasks">
        <xdr:nvPicPr>
          <xdr:cNvPr id="29" name="Graphic 28" descr="Key">
            <a:extLst>
              <a:ext uri="{FF2B5EF4-FFF2-40B4-BE49-F238E27FC236}">
                <a16:creationId xmlns:a16="http://schemas.microsoft.com/office/drawing/2014/main" id="{CF75344A-28BE-422D-84F1-D3A5D3502E9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438160" y="2000250"/>
            <a:ext cx="876300" cy="9144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223838</xdr:colOff>
      <xdr:row>9</xdr:row>
      <xdr:rowOff>42862</xdr:rowOff>
    </xdr:from>
    <xdr:to>
      <xdr:col>18</xdr:col>
      <xdr:colOff>171450</xdr:colOff>
      <xdr:row>26</xdr:row>
      <xdr:rowOff>33337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28575</xdr:colOff>
      <xdr:row>1</xdr:row>
      <xdr:rowOff>161924</xdr:rowOff>
    </xdr:from>
    <xdr:to>
      <xdr:col>24</xdr:col>
      <xdr:colOff>885825</xdr:colOff>
      <xdr:row>6</xdr:row>
      <xdr:rowOff>57150</xdr:rowOff>
    </xdr:to>
    <mc:AlternateContent xmlns:mc="http://schemas.openxmlformats.org/markup-compatibility/2006" xmlns:a14="http://schemas.microsoft.com/office/drawing/2010/main">
      <mc:Choice Requires="a14">
        <xdr:graphicFrame macro="">
          <xdr:nvGraphicFramePr>
            <xdr:cNvPr id="6" name="slicerCompanyName">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slicerCompanyName"/>
            </a:graphicData>
          </a:graphic>
        </xdr:graphicFrame>
      </mc:Choice>
      <mc:Fallback xmlns="">
        <xdr:sp macro="" textlink="">
          <xdr:nvSpPr>
            <xdr:cNvPr id="0" name=""/>
            <xdr:cNvSpPr>
              <a:spLocks noTextEdit="1"/>
            </xdr:cNvSpPr>
          </xdr:nvSpPr>
          <xdr:spPr>
            <a:xfrm>
              <a:off x="5810250" y="495299"/>
              <a:ext cx="4324350" cy="7048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04775"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ANDPA-SENIOR" refreshedDate="44404.630220949075" createdVersion="6" refreshedVersion="6" minRefreshableVersion="3" recordCount="35" xr:uid="{C89BA308-8EAF-415C-9662-9F370E6065CE}">
  <cacheSource type="worksheet">
    <worksheetSource name="TableTemp"/>
  </cacheSource>
  <cacheFields count="16">
    <cacheField name="Company ID" numFmtId="0">
      <sharedItems/>
    </cacheField>
    <cacheField name="Sales Document" numFmtId="0">
      <sharedItems containsSemiMixedTypes="0" containsString="0" containsNumber="1" containsInteger="1" minValue="84030" maxValue="88666"/>
    </cacheField>
    <cacheField name="Document Date" numFmtId="14">
      <sharedItems containsSemiMixedTypes="0" containsNonDate="0" containsDate="1" containsString="0" minDate="2018-10-07T00:00:00" maxDate="2018-10-27T00:00:00"/>
    </cacheField>
    <cacheField name="Customer code" numFmtId="0">
      <sharedItems containsSemiMixedTypes="0" containsString="0" containsNumber="1" containsInteger="1" minValue="8030" maxValue="805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110" maxValue="870"/>
    </cacheField>
    <cacheField name="Sales Local Currency" numFmtId="0">
      <sharedItems containsSemiMixedTypes="0" containsString="0" containsNumber="1" containsInteger="1" minValue="1200" maxValue="53320"/>
    </cacheField>
    <cacheField name="Company Name" numFmtId="0">
      <sharedItems count="4">
        <s v="Bere Kleid"/>
        <s v="Meta Creations" u="1"/>
        <s v="Urban Right" u="1"/>
        <s v="Lucas Basics" u="1"/>
      </sharedItems>
    </cacheField>
    <cacheField name="Customer Name" numFmtId="0">
      <sharedItems count="6">
        <s v="Aida GmbH"/>
        <s v="Werner Strauss"/>
        <s v="Edson"/>
        <s v="Liebher" u="1"/>
        <s v="Dellicia" u="1"/>
        <s v="Erma" u="1"/>
      </sharedItems>
    </cacheField>
    <cacheField name="Article Description" numFmtId="0">
      <sharedItems count="19">
        <s v="Women evening dress Cocktail red"/>
        <s v="Women type T simple black"/>
        <s v="Women crop top black"/>
        <s v="Women basics"/>
        <s v="Smartphone case diamond"/>
        <s v="Women evening dress long black"/>
        <s v="Unisex tank top white"/>
        <s v="Smartphone case simple"/>
        <s v="Laptop bag red"/>
        <s v="Women type T simple white"/>
        <s v="Unisex tank top black"/>
        <s v="Laptop bag black"/>
        <s v="Men dress shirt black" u="1"/>
        <s v="Men type T simple black" u="1"/>
        <s v="Men type T simple white" u="1"/>
        <s v="Men dress shirt grey" u="1"/>
        <s v="Men shorts grey" u="1"/>
        <s v="Men basics" u="1"/>
        <s v="Men shorts black" u="1"/>
      </sharedItems>
    </cacheField>
    <cacheField name="Currency" numFmtId="0">
      <sharedItems/>
    </cacheField>
    <cacheField name="Sales US Dollars" numFmtId="0">
      <sharedItems containsSemiMixedTypes="0" containsString="0" containsNumber="1" minValue="1409.93" maxValue="62647.75"/>
    </cacheField>
    <cacheField name="Field1" numFmtId="0" formula=" 0" databaseField="0"/>
    <cacheField name="Field2" numFmtId="0" formula=" 0" databaseField="0"/>
    <cacheField name="% Reject" numFmtId="0" formula="Reject/Quantity" databaseField="0"/>
  </cacheFields>
  <extLst>
    <ext xmlns:x14="http://schemas.microsoft.com/office/spreadsheetml/2009/9/main" uri="{725AE2AE-9491-48be-B2B4-4EB974FC3084}">
      <x14:pivotCacheDefinition pivotCacheId="14053034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s v="1030AT"/>
    <n v="84030"/>
    <d v="2018-10-07T00:00:00"/>
    <n v="8050"/>
    <n v="120"/>
    <s v=""/>
    <n v="120"/>
    <n v="6960"/>
    <x v="0"/>
    <x v="0"/>
    <x v="0"/>
    <s v="EUR"/>
    <n v="8177.58"/>
  </r>
  <r>
    <s v="1030AT"/>
    <n v="84030"/>
    <d v="2018-10-07T00:00:00"/>
    <n v="8050"/>
    <n v="104"/>
    <n v="1"/>
    <n v="430"/>
    <n v="5160"/>
    <x v="0"/>
    <x v="0"/>
    <x v="1"/>
    <s v="EUR"/>
    <n v="6062.69"/>
  </r>
  <r>
    <s v="1030AT"/>
    <n v="84030"/>
    <d v="2018-10-07T00:00:00"/>
    <n v="8050"/>
    <n v="105"/>
    <s v=""/>
    <n v="120"/>
    <n v="1200"/>
    <x v="0"/>
    <x v="0"/>
    <x v="2"/>
    <s v="EUR"/>
    <n v="1409.93"/>
  </r>
  <r>
    <s v="1030AT"/>
    <n v="84030"/>
    <d v="2018-10-07T00:00:00"/>
    <n v="8050"/>
    <n v="107"/>
    <n v="1"/>
    <n v="690"/>
    <n v="3450"/>
    <x v="0"/>
    <x v="0"/>
    <x v="3"/>
    <s v="EUR"/>
    <n v="4053.54"/>
  </r>
  <r>
    <s v="1030AT"/>
    <n v="84031"/>
    <d v="2018-10-08T00:00:00"/>
    <n v="8040"/>
    <n v="104"/>
    <s v=""/>
    <n v="870"/>
    <n v="10440"/>
    <x v="0"/>
    <x v="1"/>
    <x v="1"/>
    <s v="EUR"/>
    <n v="12266.36"/>
  </r>
  <r>
    <s v="1030AT"/>
    <n v="84031"/>
    <d v="2018-10-08T00:00:00"/>
    <n v="8040"/>
    <n v="107"/>
    <s v=""/>
    <n v="760"/>
    <n v="3800"/>
    <x v="0"/>
    <x v="1"/>
    <x v="3"/>
    <s v="EUR"/>
    <n v="4464.7700000000004"/>
  </r>
  <r>
    <s v="1030AT"/>
    <n v="84031"/>
    <d v="2018-10-08T00:00:00"/>
    <n v="8040"/>
    <n v="110"/>
    <n v="2"/>
    <n v="500"/>
    <n v="30000"/>
    <x v="0"/>
    <x v="1"/>
    <x v="4"/>
    <s v="EUR"/>
    <n v="35248.17"/>
  </r>
  <r>
    <s v="1030AT"/>
    <n v="88112"/>
    <d v="2018-10-11T00:00:00"/>
    <n v="8040"/>
    <n v="110"/>
    <m/>
    <n v="480"/>
    <n v="28800"/>
    <x v="0"/>
    <x v="1"/>
    <x v="4"/>
    <s v="EUR"/>
    <n v="33838.239999999998"/>
  </r>
  <r>
    <s v="1030AT"/>
    <n v="88112"/>
    <d v="2018-10-11T00:00:00"/>
    <n v="8040"/>
    <n v="119"/>
    <s v=""/>
    <n v="630"/>
    <n v="39060"/>
    <x v="0"/>
    <x v="1"/>
    <x v="5"/>
    <s v="EUR"/>
    <n v="45893.120000000003"/>
  </r>
  <r>
    <s v="1030AT"/>
    <n v="88112"/>
    <d v="2018-10-11T00:00:00"/>
    <n v="8040"/>
    <n v="120"/>
    <m/>
    <n v="150"/>
    <n v="8700"/>
    <x v="0"/>
    <x v="1"/>
    <x v="0"/>
    <s v="EUR"/>
    <n v="10221.969999999999"/>
  </r>
  <r>
    <s v="1030AT"/>
    <n v="88112"/>
    <d v="2018-10-11T00:00:00"/>
    <n v="8040"/>
    <n v="116"/>
    <n v="4"/>
    <n v="760"/>
    <n v="4560"/>
    <x v="0"/>
    <x v="1"/>
    <x v="6"/>
    <s v="EUR"/>
    <n v="5357.72"/>
  </r>
  <r>
    <s v="1030AT"/>
    <n v="88112"/>
    <d v="2018-10-11T00:00:00"/>
    <n v="8040"/>
    <n v="111"/>
    <m/>
    <n v="590"/>
    <n v="11800"/>
    <x v="0"/>
    <x v="1"/>
    <x v="7"/>
    <s v="EUR"/>
    <n v="13864.28"/>
  </r>
  <r>
    <s v="1030AT"/>
    <n v="88112"/>
    <d v="2018-10-11T00:00:00"/>
    <n v="8040"/>
    <n v="110"/>
    <m/>
    <n v="530"/>
    <n v="31800"/>
    <x v="0"/>
    <x v="1"/>
    <x v="4"/>
    <s v="EUR"/>
    <n v="37363.06"/>
  </r>
  <r>
    <s v="1030AT"/>
    <n v="88112"/>
    <d v="2018-10-11T00:00:00"/>
    <n v="8040"/>
    <n v="109"/>
    <m/>
    <n v="260"/>
    <n v="7280"/>
    <x v="0"/>
    <x v="1"/>
    <x v="8"/>
    <s v="EUR"/>
    <n v="8553.56"/>
  </r>
  <r>
    <s v="1030AT"/>
    <n v="85442"/>
    <d v="2018-10-15T00:00:00"/>
    <n v="8050"/>
    <n v="107"/>
    <m/>
    <n v="270"/>
    <n v="1350"/>
    <x v="0"/>
    <x v="0"/>
    <x v="3"/>
    <s v="EUR"/>
    <n v="1586.17"/>
  </r>
  <r>
    <s v="1030AT"/>
    <n v="85442"/>
    <d v="2018-10-15T00:00:00"/>
    <n v="8050"/>
    <n v="103"/>
    <m/>
    <n v="630"/>
    <n v="7560"/>
    <x v="0"/>
    <x v="0"/>
    <x v="9"/>
    <s v="EUR"/>
    <n v="8882.5400000000009"/>
  </r>
  <r>
    <s v="1030AT"/>
    <n v="85442"/>
    <d v="2018-10-15T00:00:00"/>
    <n v="8050"/>
    <n v="104"/>
    <m/>
    <n v="440"/>
    <n v="5280"/>
    <x v="0"/>
    <x v="0"/>
    <x v="1"/>
    <s v="EUR"/>
    <n v="6203.68"/>
  </r>
  <r>
    <s v="1030AT"/>
    <n v="85442"/>
    <d v="2018-10-15T00:00:00"/>
    <n v="8050"/>
    <n v="120"/>
    <m/>
    <n v="500"/>
    <n v="29000"/>
    <x v="0"/>
    <x v="0"/>
    <x v="0"/>
    <s v="EUR"/>
    <n v="34073.230000000003"/>
  </r>
  <r>
    <s v="1030AT"/>
    <n v="85442"/>
    <d v="2018-10-15T00:00:00"/>
    <n v="8050"/>
    <n v="119"/>
    <n v="1"/>
    <n v="360"/>
    <n v="22320"/>
    <x v="0"/>
    <x v="0"/>
    <x v="5"/>
    <s v="EUR"/>
    <n v="26224.639999999999"/>
  </r>
  <r>
    <s v="1030AT"/>
    <n v="85442"/>
    <d v="2018-10-15T00:00:00"/>
    <n v="8050"/>
    <n v="115"/>
    <m/>
    <n v="810"/>
    <n v="4860"/>
    <x v="0"/>
    <x v="0"/>
    <x v="10"/>
    <s v="EUR"/>
    <n v="5710.2"/>
  </r>
  <r>
    <s v="1030AT"/>
    <n v="85442"/>
    <d v="2018-10-15T00:00:00"/>
    <n v="8050"/>
    <n v="108"/>
    <m/>
    <n v="800"/>
    <n v="22400"/>
    <x v="0"/>
    <x v="0"/>
    <x v="11"/>
    <s v="EUR"/>
    <n v="26318.63"/>
  </r>
  <r>
    <s v="1030AT"/>
    <n v="88588"/>
    <d v="2018-10-15T00:00:00"/>
    <n v="8040"/>
    <n v="120"/>
    <m/>
    <n v="470"/>
    <n v="27260"/>
    <x v="0"/>
    <x v="1"/>
    <x v="0"/>
    <s v="EUR"/>
    <n v="32028.84"/>
  </r>
  <r>
    <s v="1030AT"/>
    <n v="88588"/>
    <d v="2018-10-15T00:00:00"/>
    <n v="8040"/>
    <n v="119"/>
    <m/>
    <n v="860"/>
    <n v="53320"/>
    <x v="0"/>
    <x v="1"/>
    <x v="5"/>
    <s v="EUR"/>
    <n v="62647.75"/>
  </r>
  <r>
    <s v="1030AT"/>
    <n v="88588"/>
    <d v="2018-10-15T00:00:00"/>
    <n v="8040"/>
    <n v="110"/>
    <m/>
    <n v="180"/>
    <n v="10800"/>
    <x v="0"/>
    <x v="1"/>
    <x v="4"/>
    <s v="EUR"/>
    <n v="12689.34"/>
  </r>
  <r>
    <s v="1030AT"/>
    <n v="88588"/>
    <d v="2018-10-15T00:00:00"/>
    <n v="8040"/>
    <n v="111"/>
    <m/>
    <n v="750"/>
    <n v="15000"/>
    <x v="0"/>
    <x v="1"/>
    <x v="7"/>
    <s v="EUR"/>
    <n v="17624.09"/>
  </r>
  <r>
    <s v="1030AT"/>
    <n v="88588"/>
    <d v="2018-10-15T00:00:00"/>
    <n v="8040"/>
    <n v="109"/>
    <m/>
    <n v="560"/>
    <n v="15680"/>
    <x v="0"/>
    <x v="1"/>
    <x v="8"/>
    <s v="EUR"/>
    <n v="18423.04"/>
  </r>
  <r>
    <s v="1030AT"/>
    <n v="88588"/>
    <d v="2018-10-15T00:00:00"/>
    <n v="8040"/>
    <n v="105"/>
    <m/>
    <n v="130"/>
    <n v="1300"/>
    <x v="0"/>
    <x v="1"/>
    <x v="2"/>
    <s v="EUR"/>
    <n v="1527.42"/>
  </r>
  <r>
    <s v="1030AT"/>
    <n v="88588"/>
    <d v="2018-10-15T00:00:00"/>
    <n v="8040"/>
    <n v="103"/>
    <m/>
    <n v="110"/>
    <n v="1320"/>
    <x v="0"/>
    <x v="1"/>
    <x v="9"/>
    <s v="EUR"/>
    <n v="1550.92"/>
  </r>
  <r>
    <s v="1030AT"/>
    <n v="88544"/>
    <d v="2018-10-22T00:00:00"/>
    <n v="8040"/>
    <n v="107"/>
    <m/>
    <n v="770"/>
    <n v="3850"/>
    <x v="0"/>
    <x v="1"/>
    <x v="3"/>
    <s v="EUR"/>
    <n v="4523.5200000000004"/>
  </r>
  <r>
    <s v="1030AT"/>
    <n v="88544"/>
    <d v="2018-10-22T00:00:00"/>
    <n v="8040"/>
    <n v="120"/>
    <m/>
    <n v="300"/>
    <n v="17400"/>
    <x v="0"/>
    <x v="1"/>
    <x v="0"/>
    <s v="EUR"/>
    <n v="20443.939999999999"/>
  </r>
  <r>
    <s v="1030AT"/>
    <n v="88666"/>
    <d v="2018-10-26T00:00:00"/>
    <n v="8030"/>
    <n v="119"/>
    <m/>
    <n v="330"/>
    <n v="20460"/>
    <x v="0"/>
    <x v="2"/>
    <x v="5"/>
    <s v="EUR"/>
    <n v="24039.25"/>
  </r>
  <r>
    <s v="1030AT"/>
    <n v="88666"/>
    <d v="2018-10-26T00:00:00"/>
    <n v="8030"/>
    <n v="107"/>
    <m/>
    <n v="460"/>
    <n v="2300"/>
    <x v="0"/>
    <x v="2"/>
    <x v="3"/>
    <s v="EUR"/>
    <n v="2702.36"/>
  </r>
  <r>
    <s v="1030AT"/>
    <n v="88666"/>
    <d v="2018-10-26T00:00:00"/>
    <n v="8030"/>
    <n v="105"/>
    <n v="1"/>
    <n v="470"/>
    <n v="4700"/>
    <x v="0"/>
    <x v="2"/>
    <x v="2"/>
    <s v="EUR"/>
    <n v="5522.21"/>
  </r>
  <r>
    <s v="1030AT"/>
    <n v="88666"/>
    <d v="2018-10-26T00:00:00"/>
    <n v="8030"/>
    <n v="115"/>
    <m/>
    <n v="390"/>
    <n v="2340"/>
    <x v="0"/>
    <x v="2"/>
    <x v="10"/>
    <s v="EUR"/>
    <n v="2749.36"/>
  </r>
  <r>
    <s v="1030AT"/>
    <n v="88666"/>
    <d v="2018-10-26T00:00:00"/>
    <n v="8030"/>
    <n v="116"/>
    <m/>
    <n v="260"/>
    <n v="1560"/>
    <x v="0"/>
    <x v="2"/>
    <x v="6"/>
    <s v="EUR"/>
    <n v="183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BEAA93-3EA1-40A5-B296-F1880894CE1D}" name="PTArticle" cacheId="175" applyNumberFormats="0" applyBorderFormats="0" applyFontFormats="0" applyPatternFormats="0" applyAlignmentFormats="0" applyWidthHeightFormats="1" dataCaption="Values" updatedVersion="6" minRefreshableVersion="3" itemPrintTitles="1" createdVersion="6" indent="0" outline="1" outlineData="1" multipleFieldFilters="0" rowHeaderCaption="Article">
  <location ref="U10:W23" firstHeaderRow="0" firstDataRow="1" firstDataCol="1"/>
  <pivotFields count="16">
    <pivotField showAll="0"/>
    <pivotField showAll="0"/>
    <pivotField numFmtId="14" showAll="0"/>
    <pivotField showAll="0"/>
    <pivotField showAll="0"/>
    <pivotField showAll="0"/>
    <pivotField dataField="1" showAll="0"/>
    <pivotField dataField="1" showAll="0"/>
    <pivotField showAll="0">
      <items count="5">
        <item x="0"/>
        <item m="1" x="3"/>
        <item m="1" x="1"/>
        <item m="1" x="2"/>
        <item t="default"/>
      </items>
    </pivotField>
    <pivotField showAll="0"/>
    <pivotField axis="axisRow" showAll="0">
      <items count="20">
        <item x="11"/>
        <item x="8"/>
        <item m="1" x="17"/>
        <item m="1" x="12"/>
        <item m="1" x="15"/>
        <item m="1" x="13"/>
        <item m="1" x="14"/>
        <item x="4"/>
        <item x="7"/>
        <item x="9"/>
        <item x="1"/>
        <item x="2"/>
        <item x="3"/>
        <item m="1" x="16"/>
        <item m="1" x="18"/>
        <item x="6"/>
        <item x="0"/>
        <item x="5"/>
        <item x="10"/>
        <item t="default"/>
      </items>
    </pivotField>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10"/>
  </rowFields>
  <rowItems count="13">
    <i>
      <x/>
    </i>
    <i>
      <x v="1"/>
    </i>
    <i>
      <x v="7"/>
    </i>
    <i>
      <x v="8"/>
    </i>
    <i>
      <x v="9"/>
    </i>
    <i>
      <x v="10"/>
    </i>
    <i>
      <x v="11"/>
    </i>
    <i>
      <x v="12"/>
    </i>
    <i>
      <x v="15"/>
    </i>
    <i>
      <x v="16"/>
    </i>
    <i>
      <x v="17"/>
    </i>
    <i>
      <x v="18"/>
    </i>
    <i t="grand">
      <x/>
    </i>
  </rowItems>
  <colFields count="1">
    <field x="-2"/>
  </colFields>
  <colItems count="2">
    <i>
      <x/>
    </i>
    <i i="1">
      <x v="1"/>
    </i>
  </colItems>
  <dataFields count="2">
    <dataField name="$ Sales" fld="7" baseField="0" baseItem="0"/>
    <dataField name="Quantity " fld="6" baseField="0" baseItem="0" numFmtId="165"/>
  </dataFields>
  <formats count="14">
    <format dxfId="23">
      <pivotArea field="10" type="button" dataOnly="0" labelOnly="1" outline="0" axis="axisRow" fieldPosition="0"/>
    </format>
    <format dxfId="22">
      <pivotArea dataOnly="0" labelOnly="1" outline="0" fieldPosition="0">
        <references count="1">
          <reference field="4294967294" count="2">
            <x v="0"/>
            <x v="1"/>
          </reference>
        </references>
      </pivotArea>
    </format>
    <format dxfId="21">
      <pivotArea field="10" type="button" dataOnly="0" labelOnly="1" outline="0" axis="axisRow" fieldPosition="0"/>
    </format>
    <format dxfId="20">
      <pivotArea dataOnly="0" labelOnly="1" outline="0" fieldPosition="0">
        <references count="1">
          <reference field="4294967294" count="2">
            <x v="0"/>
            <x v="1"/>
          </reference>
        </references>
      </pivotArea>
    </format>
    <format dxfId="19">
      <pivotArea field="10" type="button" dataOnly="0" labelOnly="1" outline="0" axis="axisRow" fieldPosition="0"/>
    </format>
    <format dxfId="18">
      <pivotArea dataOnly="0" labelOnly="1" outline="0" fieldPosition="0">
        <references count="1">
          <reference field="4294967294" count="2">
            <x v="0"/>
            <x v="1"/>
          </reference>
        </references>
      </pivotArea>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 dxfId="11">
      <pivotArea outline="0" collapsedLevelsAreSubtotals="1" fieldPosition="0"/>
    </format>
    <format dxfId="10">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07029E-52CE-47B2-8D39-A25D248908B7}" name="PTRegion" cacheId="175"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 rowHeaderCaption="Customer">
  <location ref="P4:R8" firstHeaderRow="0" firstDataRow="1" firstDataCol="1"/>
  <pivotFields count="16">
    <pivotField showAll="0"/>
    <pivotField showAll="0"/>
    <pivotField numFmtId="14" showAll="0"/>
    <pivotField showAll="0"/>
    <pivotField showAll="0"/>
    <pivotField showAll="0"/>
    <pivotField showAll="0"/>
    <pivotField showAll="0"/>
    <pivotField showAll="0"/>
    <pivotField axis="axisRow" showAll="0">
      <items count="7">
        <item x="0"/>
        <item m="1" x="5"/>
        <item m="1" x="3"/>
        <item m="1" x="4"/>
        <item x="1"/>
        <item x="2"/>
        <item t="default"/>
      </items>
    </pivotField>
    <pivotField showAll="0"/>
    <pivotField showAll="0"/>
    <pivotField dataField="1" showAll="0"/>
    <pivotField dragToRow="0" dragToCol="0" dragToPage="0" showAll="0" defaultSubtotal="0"/>
    <pivotField dragToRow="0" dragToCol="0" dragToPage="0" showAll="0" defaultSubtotal="0"/>
    <pivotField dragToRow="0" dragToCol="0" dragToPage="0" showAll="0" defaultSubtotal="0"/>
  </pivotFields>
  <rowFields count="1">
    <field x="9"/>
  </rowFields>
  <rowItems count="4">
    <i>
      <x/>
    </i>
    <i>
      <x v="4"/>
    </i>
    <i>
      <x v="5"/>
    </i>
    <i t="grand">
      <x/>
    </i>
  </rowItems>
  <colFields count="1">
    <field x="-2"/>
  </colFields>
  <colItems count="2">
    <i>
      <x/>
    </i>
    <i i="1">
      <x v="1"/>
    </i>
  </colItems>
  <dataFields count="2">
    <dataField name="Sales" fld="12" baseField="0" baseItem="0" numFmtId="44"/>
    <dataField name=" " fld="12" showDataAs="percentOfTotal" baseField="0" baseItem="0" numFmtId="10"/>
  </dataFields>
  <formats count="30">
    <format dxfId="53">
      <pivotArea collapsedLevelsAreSubtotals="1" fieldPosition="0">
        <references count="2">
          <reference field="4294967294" count="1" selected="0">
            <x v="1"/>
          </reference>
          <reference field="9" count="0"/>
        </references>
      </pivotArea>
    </format>
    <format dxfId="52">
      <pivotArea outline="0" collapsedLevelsAreSubtotals="1" fieldPosition="0">
        <references count="1">
          <reference field="4294967294" count="1" selected="0">
            <x v="0"/>
          </reference>
        </references>
      </pivotArea>
    </format>
    <format dxfId="51">
      <pivotArea field="9" type="button" dataOnly="0" labelOnly="1" outline="0" axis="axisRow" fieldPosition="0"/>
    </format>
    <format dxfId="50">
      <pivotArea dataOnly="0" labelOnly="1" outline="0" fieldPosition="0">
        <references count="1">
          <reference field="4294967294" count="2">
            <x v="0"/>
            <x v="1"/>
          </reference>
        </references>
      </pivotArea>
    </format>
    <format dxfId="49">
      <pivotArea field="9" type="button" dataOnly="0" labelOnly="1" outline="0" axis="axisRow" fieldPosition="0"/>
    </format>
    <format dxfId="48">
      <pivotArea dataOnly="0" labelOnly="1" outline="0" fieldPosition="0">
        <references count="1">
          <reference field="4294967294" count="2">
            <x v="0"/>
            <x v="1"/>
          </reference>
        </references>
      </pivotArea>
    </format>
    <format dxfId="47">
      <pivotArea field="9" type="button" dataOnly="0" labelOnly="1" outline="0" axis="axisRow" fieldPosition="0"/>
    </format>
    <format dxfId="46">
      <pivotArea dataOnly="0" labelOnly="1" outline="0" fieldPosition="0">
        <references count="1">
          <reference field="4294967294" count="2">
            <x v="0"/>
            <x v="1"/>
          </reference>
        </references>
      </pivotArea>
    </format>
    <format dxfId="45">
      <pivotArea dataOnly="0" grandRow="1" axis="axisRow" fieldPosition="0"/>
    </format>
    <format dxfId="44">
      <pivotArea dataOnly="0" grandRow="1" axis="axisRow" fieldPosition="0"/>
    </format>
    <format dxfId="43">
      <pivotArea dataOnly="0" grandRow="1" axis="axisRow" fieldPosition="0"/>
    </format>
    <format dxfId="42">
      <pivotArea field="9" type="button" dataOnly="0" labelOnly="1" outline="0" axis="axisRow" fieldPosition="0"/>
    </format>
    <format dxfId="41">
      <pivotArea dataOnly="0" labelOnly="1" outline="0" fieldPosition="0">
        <references count="1">
          <reference field="4294967294" count="2">
            <x v="0"/>
            <x v="1"/>
          </reference>
        </references>
      </pivotArea>
    </format>
    <format dxfId="40">
      <pivotArea field="9" type="button" dataOnly="0" labelOnly="1" outline="0" axis="axisRow" fieldPosition="0"/>
    </format>
    <format dxfId="39">
      <pivotArea dataOnly="0" labelOnly="1" outline="0" fieldPosition="0">
        <references count="1">
          <reference field="4294967294" count="2">
            <x v="0"/>
            <x v="1"/>
          </reference>
        </references>
      </pivotArea>
    </format>
    <format dxfId="38">
      <pivotArea dataOnly="0" grandRow="1" axis="axisRow" fieldPosition="0"/>
    </format>
    <format dxfId="37">
      <pivotArea dataOnly="0" grandRow="1" axis="axisRow" fieldPosition="0"/>
    </format>
    <format dxfId="36">
      <pivotArea field="9" type="button" dataOnly="0" labelOnly="1" outline="0" axis="axisRow" fieldPosition="0"/>
    </format>
    <format dxfId="35">
      <pivotArea dataOnly="0" labelOnly="1" outline="0" fieldPosition="0">
        <references count="1">
          <reference field="4294967294" count="2">
            <x v="0"/>
            <x v="1"/>
          </reference>
        </references>
      </pivotArea>
    </format>
    <format dxfId="34">
      <pivotArea field="9" type="button" dataOnly="0" labelOnly="1" outline="0" axis="axisRow" fieldPosition="0"/>
    </format>
    <format dxfId="33">
      <pivotArea dataOnly="0" labelOnly="1" outline="0" fieldPosition="0">
        <references count="1">
          <reference field="4294967294" count="2">
            <x v="0"/>
            <x v="1"/>
          </reference>
        </references>
      </pivotArea>
    </format>
    <format dxfId="32">
      <pivotArea grandRow="1" outline="0" collapsedLevelsAreSubtotals="1" fieldPosition="0"/>
    </format>
    <format dxfId="31">
      <pivotArea dataOnly="0" labelOnly="1" grandRow="1" outline="0" fieldPosition="0"/>
    </format>
    <format dxfId="30">
      <pivotArea grandRow="1" outline="0" collapsedLevelsAreSubtotals="1" fieldPosition="0"/>
    </format>
    <format dxfId="29">
      <pivotArea dataOnly="0" labelOnly="1" grandRow="1" outline="0" fieldPosition="0"/>
    </format>
    <format dxfId="28">
      <pivotArea dataOnly="0" fieldPosition="0">
        <references count="1">
          <reference field="9" count="0"/>
        </references>
      </pivotArea>
    </format>
    <format dxfId="27">
      <pivotArea field="9" type="button" dataOnly="0" labelOnly="1" outline="0" axis="axisRow" fieldPosition="0"/>
    </format>
    <format dxfId="26">
      <pivotArea dataOnly="0" labelOnly="1" grandRow="1" outline="0" fieldPosition="0"/>
    </format>
    <format dxfId="25">
      <pivotArea collapsedLevelsAreSubtotals="1" fieldPosition="0">
        <references count="2">
          <reference field="4294967294" count="1" selected="0">
            <x v="1"/>
          </reference>
          <reference field="9" count="0"/>
        </references>
      </pivotArea>
    </format>
    <format dxfId="24">
      <pivotArea dataOnly="0" labelOnly="1" fieldPosition="0">
        <references count="1">
          <reference field="9" count="0"/>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1"/>
          </reference>
          <reference field="9" count="1" selected="0">
            <x v="0"/>
          </reference>
        </references>
      </pivotArea>
    </chartFormat>
    <chartFormat chart="0" format="3">
      <pivotArea type="data" outline="0" fieldPosition="0">
        <references count="2">
          <reference field="4294967294" count="1" selected="0">
            <x v="1"/>
          </reference>
          <reference field="9" count="1" selected="0">
            <x v="2"/>
          </reference>
        </references>
      </pivotArea>
    </chartFormat>
    <chartFormat chart="0" format="4">
      <pivotArea type="data" outline="0" fieldPosition="0">
        <references count="2">
          <reference field="4294967294" count="1" selected="0">
            <x v="1"/>
          </reference>
          <reference field="9" count="1" selected="0">
            <x v="4"/>
          </reference>
        </references>
      </pivotArea>
    </chartFormat>
    <chartFormat chart="0" format="5">
      <pivotArea type="data" outline="0" fieldPosition="0">
        <references count="2">
          <reference field="4294967294" count="1" selected="0">
            <x v="1"/>
          </reference>
          <reference field="9" count="1" selected="0">
            <x v="5"/>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6F3DE0-09BB-4EB6-A1A3-F3DF004B9FDE}" name="PTManager" cacheId="175" applyNumberFormats="0" applyBorderFormats="0" applyFontFormats="0" applyPatternFormats="0" applyAlignmentFormats="0" applyWidthHeightFormats="1" dataCaption="Values" updatedVersion="6" minRefreshableVersion="3" showDrill="0" itemPrintTitles="1" createdVersion="6" indent="0" outline="1" outlineData="1" multipleFieldFilters="0">
  <location ref="AD3:AF31" firstHeaderRow="0" firstDataRow="1" firstDataCol="1"/>
  <pivotFields count="16">
    <pivotField showAll="0"/>
    <pivotField showAll="0"/>
    <pivotField numFmtId="14" showAll="0"/>
    <pivotField showAll="0"/>
    <pivotField showAll="0"/>
    <pivotField showAll="0"/>
    <pivotField dataField="1" showAll="0"/>
    <pivotField showAll="0"/>
    <pivotField axis="axisRow" showAll="0">
      <items count="5">
        <item m="1" x="3"/>
        <item m="1" x="1"/>
        <item m="1" x="2"/>
        <item x="0"/>
        <item t="default"/>
      </items>
    </pivotField>
    <pivotField axis="axisRow" showAll="0">
      <items count="7">
        <item x="0"/>
        <item m="1" x="5"/>
        <item m="1" x="3"/>
        <item m="1" x="4"/>
        <item x="1"/>
        <item x="2"/>
        <item t="default"/>
      </items>
    </pivotField>
    <pivotField axis="axisRow" showAll="0">
      <items count="20">
        <item x="11"/>
        <item x="8"/>
        <item m="1" x="17"/>
        <item m="1" x="12"/>
        <item m="1" x="15"/>
        <item m="1" x="13"/>
        <item m="1" x="14"/>
        <item x="4"/>
        <item x="7"/>
        <item x="9"/>
        <item x="1"/>
        <item x="2"/>
        <item x="3"/>
        <item m="1" x="16"/>
        <item m="1" x="18"/>
        <item x="6"/>
        <item x="0"/>
        <item x="5"/>
        <item x="10"/>
        <item t="default"/>
      </items>
    </pivotField>
    <pivotField showAll="0"/>
    <pivotField dataField="1" showAll="0"/>
    <pivotField dragToRow="0" dragToCol="0" dragToPage="0" showAll="0" defaultSubtotal="0"/>
    <pivotField dragToRow="0" dragToCol="0" dragToPage="0" showAll="0" defaultSubtotal="0"/>
    <pivotField dragToRow="0" dragToCol="0" dragToPage="0" showAll="0" defaultSubtotal="0"/>
  </pivotFields>
  <rowFields count="3">
    <field x="8"/>
    <field x="9"/>
    <field x="10"/>
  </rowFields>
  <rowItems count="28">
    <i>
      <x v="3"/>
    </i>
    <i r="1">
      <x/>
    </i>
    <i r="2">
      <x/>
    </i>
    <i r="2">
      <x v="9"/>
    </i>
    <i r="2">
      <x v="10"/>
    </i>
    <i r="2">
      <x v="11"/>
    </i>
    <i r="2">
      <x v="12"/>
    </i>
    <i r="2">
      <x v="16"/>
    </i>
    <i r="2">
      <x v="17"/>
    </i>
    <i r="2">
      <x v="18"/>
    </i>
    <i r="1">
      <x v="4"/>
    </i>
    <i r="2">
      <x v="1"/>
    </i>
    <i r="2">
      <x v="7"/>
    </i>
    <i r="2">
      <x v="8"/>
    </i>
    <i r="2">
      <x v="9"/>
    </i>
    <i r="2">
      <x v="10"/>
    </i>
    <i r="2">
      <x v="11"/>
    </i>
    <i r="2">
      <x v="12"/>
    </i>
    <i r="2">
      <x v="15"/>
    </i>
    <i r="2">
      <x v="16"/>
    </i>
    <i r="2">
      <x v="17"/>
    </i>
    <i r="1">
      <x v="5"/>
    </i>
    <i r="2">
      <x v="11"/>
    </i>
    <i r="2">
      <x v="12"/>
    </i>
    <i r="2">
      <x v="15"/>
    </i>
    <i r="2">
      <x v="17"/>
    </i>
    <i r="2">
      <x v="18"/>
    </i>
    <i t="grand">
      <x/>
    </i>
  </rowItems>
  <colFields count="1">
    <field x="-2"/>
  </colFields>
  <colItems count="2">
    <i>
      <x/>
    </i>
    <i i="1">
      <x v="1"/>
    </i>
  </colItems>
  <dataFields count="2">
    <dataField name="Sales in US Dollar" fld="12" baseField="0" baseItem="0"/>
    <dataField name="Quantity " fld="6" baseField="0" baseItem="0" numFmtId="165"/>
  </dataFields>
  <formats count="14">
    <format dxfId="67">
      <pivotArea field="8" type="button" dataOnly="0" labelOnly="1" outline="0" axis="axisRow" fieldPosition="0"/>
    </format>
    <format dxfId="66">
      <pivotArea dataOnly="0" labelOnly="1" outline="0" fieldPosition="0">
        <references count="1">
          <reference field="4294967294" count="2">
            <x v="0"/>
            <x v="1"/>
          </reference>
        </references>
      </pivotArea>
    </format>
    <format dxfId="65">
      <pivotArea field="8" type="button" dataOnly="0" labelOnly="1" outline="0" axis="axisRow" fieldPosition="0"/>
    </format>
    <format dxfId="64">
      <pivotArea dataOnly="0" labelOnly="1" outline="0" fieldPosition="0">
        <references count="1">
          <reference field="4294967294" count="2">
            <x v="0"/>
            <x v="1"/>
          </reference>
        </references>
      </pivotArea>
    </format>
    <format dxfId="63">
      <pivotArea field="8" type="button" dataOnly="0" labelOnly="1" outline="0" axis="axisRow" fieldPosition="0"/>
    </format>
    <format dxfId="62">
      <pivotArea dataOnly="0" labelOnly="1" outline="0" fieldPosition="0">
        <references count="1">
          <reference field="4294967294" count="2">
            <x v="0"/>
            <x v="1"/>
          </reference>
        </references>
      </pivotArea>
    </format>
    <format dxfId="61">
      <pivotArea grandRow="1" outline="0" collapsedLevelsAreSubtotals="1" fieldPosition="0"/>
    </format>
    <format dxfId="60">
      <pivotArea dataOnly="0" labelOnly="1" grandRow="1" outline="0" fieldPosition="0"/>
    </format>
    <format dxfId="59">
      <pivotArea grandRow="1" outline="0" collapsedLevelsAreSubtotals="1" fieldPosition="0"/>
    </format>
    <format dxfId="58">
      <pivotArea dataOnly="0" labelOnly="1" grandRow="1" outline="0" fieldPosition="0"/>
    </format>
    <format dxfId="57">
      <pivotArea grandRow="1" outline="0" collapsedLevelsAreSubtotals="1" fieldPosition="0"/>
    </format>
    <format dxfId="56">
      <pivotArea dataOnly="0" labelOnly="1" grandRow="1" outline="0" fieldPosition="0"/>
    </format>
    <format dxfId="55">
      <pivotArea outline="0" collapsedLevelsAreSubtotals="1" fieldPosition="0"/>
    </format>
    <format dxfId="54">
      <pivotArea outline="0" collapsedLevelsAreSubtotals="1" fieldPosition="0">
        <references count="1">
          <reference field="4294967294" count="1" selected="0">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B4BAD5B-9DD1-40C1-BAE8-623D624F8C4C}" name="PTReject" cacheId="175"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Y10:AA23" firstHeaderRow="0" firstDataRow="1" firstDataCol="1"/>
  <pivotFields count="16">
    <pivotField showAll="0"/>
    <pivotField showAll="0"/>
    <pivotField numFmtId="14" showAll="0"/>
    <pivotField showAll="0"/>
    <pivotField showAll="0"/>
    <pivotField dataField="1" showAll="0"/>
    <pivotField showAll="0"/>
    <pivotField showAll="0"/>
    <pivotField showAll="0">
      <items count="5">
        <item x="0"/>
        <item m="1" x="3"/>
        <item m="1" x="1"/>
        <item m="1" x="2"/>
        <item t="default"/>
      </items>
    </pivotField>
    <pivotField showAll="0"/>
    <pivotField axis="axisRow" showAll="0">
      <items count="20">
        <item x="11"/>
        <item x="8"/>
        <item m="1" x="17"/>
        <item m="1" x="12"/>
        <item m="1" x="15"/>
        <item m="1" x="13"/>
        <item m="1" x="14"/>
        <item x="4"/>
        <item x="7"/>
        <item x="9"/>
        <item x="1"/>
        <item x="2"/>
        <item x="3"/>
        <item m="1" x="16"/>
        <item m="1" x="18"/>
        <item x="6"/>
        <item x="0"/>
        <item x="5"/>
        <item x="10"/>
        <item t="default"/>
      </items>
    </pivotField>
    <pivotField showAll="0"/>
    <pivotField showAll="0"/>
    <pivotField dragToRow="0" dragToCol="0" dragToPage="0" showAll="0" defaultSubtotal="0"/>
    <pivotField dragToRow="0" dragToCol="0" dragToPage="0" showAll="0" defaultSubtotal="0"/>
    <pivotField dataField="1" dragToRow="0" dragToCol="0" dragToPage="0" showAll="0" defaultSubtotal="0"/>
  </pivotFields>
  <rowFields count="1">
    <field x="10"/>
  </rowFields>
  <rowItems count="13">
    <i>
      <x/>
    </i>
    <i>
      <x v="1"/>
    </i>
    <i>
      <x v="7"/>
    </i>
    <i>
      <x v="8"/>
    </i>
    <i>
      <x v="9"/>
    </i>
    <i>
      <x v="10"/>
    </i>
    <i>
      <x v="11"/>
    </i>
    <i>
      <x v="12"/>
    </i>
    <i>
      <x v="15"/>
    </i>
    <i>
      <x v="16"/>
    </i>
    <i>
      <x v="17"/>
    </i>
    <i>
      <x v="18"/>
    </i>
    <i t="grand">
      <x/>
    </i>
  </rowItems>
  <colFields count="1">
    <field x="-2"/>
  </colFields>
  <colItems count="2">
    <i>
      <x/>
    </i>
    <i i="1">
      <x v="1"/>
    </i>
  </colItems>
  <dataFields count="2">
    <dataField name="Reject " fld="5" subtotal="count" baseField="0" baseItem="0"/>
    <dataField name="Reject %" fld="15" baseField="0" baseItem="0" numFmtId="164"/>
  </dataFields>
  <formats count="14">
    <format dxfId="81">
      <pivotArea outline="0" collapsedLevelsAreSubtotals="1" fieldPosition="0">
        <references count="1">
          <reference field="4294967294" count="1" selected="0">
            <x v="1"/>
          </reference>
        </references>
      </pivotArea>
    </format>
    <format dxfId="80">
      <pivotArea field="10" type="button" dataOnly="0" labelOnly="1" outline="0" axis="axisRow" fieldPosition="0"/>
    </format>
    <format dxfId="79">
      <pivotArea dataOnly="0" labelOnly="1" outline="0" fieldPosition="0">
        <references count="1">
          <reference field="4294967294" count="2">
            <x v="0"/>
            <x v="1"/>
          </reference>
        </references>
      </pivotArea>
    </format>
    <format dxfId="78">
      <pivotArea field="10" type="button" dataOnly="0" labelOnly="1" outline="0" axis="axisRow" fieldPosition="0"/>
    </format>
    <format dxfId="77">
      <pivotArea dataOnly="0" labelOnly="1" outline="0" fieldPosition="0">
        <references count="1">
          <reference field="4294967294" count="2">
            <x v="0"/>
            <x v="1"/>
          </reference>
        </references>
      </pivotArea>
    </format>
    <format dxfId="76">
      <pivotArea field="10" type="button" dataOnly="0" labelOnly="1" outline="0" axis="axisRow" fieldPosition="0"/>
    </format>
    <format dxfId="75">
      <pivotArea dataOnly="0" labelOnly="1" outline="0" fieldPosition="0">
        <references count="1">
          <reference field="4294967294" count="2">
            <x v="0"/>
            <x v="1"/>
          </reference>
        </references>
      </pivotArea>
    </format>
    <format dxfId="74">
      <pivotArea grandRow="1" outline="0" collapsedLevelsAreSubtotals="1" fieldPosition="0"/>
    </format>
    <format dxfId="73">
      <pivotArea dataOnly="0" labelOnly="1" grandRow="1" outline="0" fieldPosition="0"/>
    </format>
    <format dxfId="72">
      <pivotArea grandRow="1" outline="0" collapsedLevelsAreSubtotals="1" fieldPosition="0"/>
    </format>
    <format dxfId="71">
      <pivotArea dataOnly="0" labelOnly="1" grandRow="1" outline="0" fieldPosition="0"/>
    </format>
    <format dxfId="70">
      <pivotArea grandRow="1" outline="0" collapsedLevelsAreSubtotals="1" fieldPosition="0"/>
    </format>
    <format dxfId="69">
      <pivotArea dataOnly="0" labelOnly="1" grandRow="1" outline="0" fieldPosition="0"/>
    </format>
    <format dxfId="6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5546EF63-5FB9-4DEF-AD55-2CD0D83A93B9}" sourceName="Company Name">
  <pivotTables>
    <pivotTable tabId="7" name="PTArticle"/>
    <pivotTable tabId="7" name="PTReject"/>
  </pivotTables>
  <data>
    <tabular pivotCacheId="1405303450">
      <items count="4">
        <i x="0" s="1"/>
        <i x="3" s="1" nd="1"/>
        <i x="1"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CompanyName" xr10:uid="{E228FCD9-99CE-4E3B-A7CB-66575392E9A8}" cache="Slicer_Company_Name" caption="slicerCompanyName" columnCount="2" showCaption="0" style="Dark Blue"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79A606-E395-4913-B764-4E7F361674C0}" name="TableTemp" displayName="TableTemp" ref="A1:M36" totalsRowShown="0" headerRowDxfId="9">
  <tableColumns count="13">
    <tableColumn id="1" xr3:uid="{A6E0D5C4-9BF3-44E9-9557-5CD8F8D42B63}" name="Company ID" dataDxfId="1"/>
    <tableColumn id="2" xr3:uid="{FC850FCE-09B0-4711-8E01-8F4116161036}" name="Sales Document"/>
    <tableColumn id="3" xr3:uid="{0B368918-CE94-47BD-A389-F33C1DB7EAFC}" name="Document Date" dataDxfId="0"/>
    <tableColumn id="4" xr3:uid="{76252660-8FEE-4E3B-AC42-A0D8580EDD5D}" name="Customer code"/>
    <tableColumn id="5" xr3:uid="{3A49F0CF-D160-4355-BAB9-6020FCE59B5C}" name="Article code"/>
    <tableColumn id="6" xr3:uid="{08309727-3DF9-4802-AE27-0E13E62675C8}" name="Reject"/>
    <tableColumn id="7" xr3:uid="{A3935376-D887-4004-A8EB-2331B12AFF2F}" name="Quantity"/>
    <tableColumn id="8" xr3:uid="{947AA914-E0BB-4756-86FB-A872991470E7}" name="Sales Local Currency"/>
    <tableColumn id="9" xr3:uid="{F52F23C6-6424-4CF2-87D9-8D0D2B90B954}" name="Company Name" dataDxfId="8">
      <calculatedColumnFormula>VLOOKUP(TableTemp[[#This Row],[Company ID]],MCompany[],2,FALSE)</calculatedColumnFormula>
    </tableColumn>
    <tableColumn id="10" xr3:uid="{2208E3C7-5C24-4928-90F2-7D354C801D30}" name="Customer Name" dataDxfId="7">
      <calculatedColumnFormula>VLOOKUP(TableTemp[[#This Row],[Customer code]],MCustomer[],2,FALSE)</calculatedColumnFormula>
    </tableColumn>
    <tableColumn id="11" xr3:uid="{0FDFBABB-1569-4E90-9861-FBE2CCD4108A}" name="Article Description" dataDxfId="6">
      <calculatedColumnFormula>VLOOKUP(TableTemp[[#This Row],[Article code]],MArticle[],2,FALSE)</calculatedColumnFormula>
    </tableColumn>
    <tableColumn id="12" xr3:uid="{3D0BB818-C61F-4011-BB02-FE3A7EECFD51}" name="Currency" dataDxfId="5">
      <calculatedColumnFormula>VLOOKUP(TableTemp[[#This Row],[Company ID]],MCompany[],3,FALSE)</calculatedColumnFormula>
    </tableColumn>
    <tableColumn id="13" xr3:uid="{5E8C409D-35FD-4AA2-9D2D-E481AB4DA515}" name="Sales US Dollars" dataDxfId="4">
      <calculatedColumnFormula>ROUND(IF(LOWER(TableTemp[[#This Row],[Currency]])="usd",TableTemp[[#This Row],[Sales Local Currency]],TableTemp[[#This Row],[Sales Local Currency]]*VLOOKUP(MONTH(TableTemp[[#This Row],[Document Date]]),MExchange[],2,FALSE)), 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MCompany" displayName="MCompany" ref="B8:E12" tableBorderDxfId="3">
  <autoFilter ref="B8:E12" xr:uid="{00000000-0009-0000-0100-000002000000}">
    <filterColumn colId="0" hiddenButton="1"/>
    <filterColumn colId="1" hiddenButton="1"/>
    <filterColumn colId="2" hiddenButton="1"/>
    <filterColumn colId="3" hiddenButton="1"/>
  </autoFilter>
  <tableColumns count="4">
    <tableColumn id="1" xr3:uid="{00000000-0010-0000-0000-000001000000}" name="Company code" totalsRowLabel="Total"/>
    <tableColumn id="2" xr3:uid="{00000000-0010-0000-0000-000002000000}" name="Company Name"/>
    <tableColumn id="3" xr3:uid="{00000000-0010-0000-0000-000003000000}" name="Currency" totalsRowFunction="count"/>
    <tableColumn id="4" xr3:uid="{00000000-0010-0000-00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Customer" displayName="MCustomer" ref="B16:C22" totalsRowShown="0">
  <autoFilter ref="B16:C22" xr:uid="{00000000-0009-0000-0100-000003000000}">
    <filterColumn colId="0" hiddenButton="1"/>
    <filterColumn colId="1" hiddenButton="1"/>
  </autoFilter>
  <tableColumns count="2">
    <tableColumn id="1" xr3:uid="{00000000-0010-0000-0100-000001000000}" name="Customer code"/>
    <tableColumn id="2" xr3:uid="{00000000-0010-0000-01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MArticle" displayName="MArticle" ref="B26:C46" totalsRowShown="0">
  <autoFilter ref="B26:C46" xr:uid="{00000000-0009-0000-0100-000004000000}">
    <filterColumn colId="0" hiddenButton="1"/>
    <filterColumn colId="1" hiddenButton="1"/>
  </autoFilter>
  <tableColumns count="2">
    <tableColumn id="1" xr3:uid="{00000000-0010-0000-0200-000001000000}" name="Article code" dataDxfId="2"/>
    <tableColumn id="2" xr3:uid="{00000000-0010-0000-02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MExchange" displayName="MExchange" ref="B52:C64" totalsRowShown="0">
  <autoFilter ref="B52:C64" xr:uid="{00000000-0009-0000-0100-000005000000}">
    <filterColumn colId="0" hiddenButton="1"/>
    <filterColumn colId="1" hiddenButton="1"/>
  </autoFilter>
  <tableColumns count="2">
    <tableColumn id="1" xr3:uid="{00000000-0010-0000-0300-000001000000}" name="Month"/>
    <tableColumn id="2" xr3:uid="{00000000-0010-0000-03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dimension ref="A1:Q37"/>
  <sheetViews>
    <sheetView showGridLines="0" tabSelected="1" zoomScale="110" zoomScaleNormal="110" workbookViewId="0">
      <selection activeCell="I21" sqref="I21"/>
    </sheetView>
  </sheetViews>
  <sheetFormatPr defaultColWidth="0" defaultRowHeight="12.75" zeroHeight="1" x14ac:dyDescent="0.2"/>
  <cols>
    <col min="1" max="1" width="4" customWidth="1"/>
    <col min="2" max="2" width="9.140625" customWidth="1"/>
    <col min="3" max="3" width="19.85546875" customWidth="1"/>
    <col min="4" max="4" width="9.140625" customWidth="1"/>
    <col min="5" max="5" width="5.85546875" customWidth="1"/>
    <col min="6" max="6" width="9.140625" customWidth="1"/>
    <col min="7" max="7" width="12.85546875" customWidth="1"/>
    <col min="8" max="8" width="4.5703125" customWidth="1"/>
    <col min="9" max="17" width="9.140625" customWidth="1"/>
    <col min="18" max="16384" width="9.140625" hidden="1"/>
  </cols>
  <sheetData>
    <row r="1" spans="8:8" ht="28.9" customHeight="1" x14ac:dyDescent="0.2"/>
    <row r="2" spans="8:8" ht="11.65" customHeight="1" x14ac:dyDescent="0.2"/>
    <row r="3" spans="8:8" x14ac:dyDescent="0.2"/>
    <row r="4" spans="8:8" x14ac:dyDescent="0.2"/>
    <row r="5" spans="8:8" x14ac:dyDescent="0.2"/>
    <row r="6" spans="8:8" x14ac:dyDescent="0.2"/>
    <row r="7" spans="8:8" x14ac:dyDescent="0.2"/>
    <row r="8" spans="8:8" x14ac:dyDescent="0.2"/>
    <row r="9" spans="8:8" x14ac:dyDescent="0.2"/>
    <row r="10" spans="8:8" x14ac:dyDescent="0.2"/>
    <row r="11" spans="8:8" x14ac:dyDescent="0.2"/>
    <row r="12" spans="8:8" x14ac:dyDescent="0.2">
      <c r="H12" s="3"/>
    </row>
    <row r="13" spans="8:8" x14ac:dyDescent="0.2">
      <c r="H13" s="3"/>
    </row>
    <row r="14" spans="8:8" x14ac:dyDescent="0.2"/>
    <row r="15" spans="8:8" x14ac:dyDescent="0.2"/>
    <row r="16" spans="8:8" x14ac:dyDescent="0.2"/>
    <row r="17" spans="2:6" x14ac:dyDescent="0.2"/>
    <row r="18" spans="2:6" x14ac:dyDescent="0.2"/>
    <row r="19" spans="2:6" x14ac:dyDescent="0.2">
      <c r="B19" s="57" t="s">
        <v>107</v>
      </c>
      <c r="C19" s="2"/>
      <c r="D19" s="2"/>
      <c r="E19" s="2"/>
      <c r="F19" s="2"/>
    </row>
    <row r="20" spans="2:6" x14ac:dyDescent="0.2"/>
    <row r="21" spans="2:6" x14ac:dyDescent="0.2"/>
    <row r="22" spans="2:6" x14ac:dyDescent="0.2"/>
    <row r="23" spans="2:6" x14ac:dyDescent="0.2"/>
    <row r="24" spans="2:6" x14ac:dyDescent="0.2"/>
    <row r="25" spans="2:6" x14ac:dyDescent="0.2"/>
    <row r="26" spans="2:6" x14ac:dyDescent="0.2"/>
    <row r="27" spans="2:6" x14ac:dyDescent="0.2"/>
    <row r="28" spans="2:6" x14ac:dyDescent="0.2"/>
    <row r="29" spans="2:6" x14ac:dyDescent="0.2"/>
    <row r="30" spans="2:6" x14ac:dyDescent="0.2"/>
    <row r="31" spans="2:6" x14ac:dyDescent="0.2"/>
    <row r="32" spans="2:6" x14ac:dyDescent="0.2"/>
    <row r="33" x14ac:dyDescent="0.2"/>
    <row r="34" x14ac:dyDescent="0.2"/>
    <row r="35" x14ac:dyDescent="0.2"/>
    <row r="36" x14ac:dyDescent="0.2"/>
    <row r="37" x14ac:dyDescent="0.2"/>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axRegion">
          <controlPr defaultSize="0" autoLine="0" listFillRange="MRegion" r:id="rId5">
            <anchor moveWithCells="1">
              <from>
                <xdr:col>5</xdr:col>
                <xdr:colOff>390525</xdr:colOff>
                <xdr:row>14</xdr:row>
                <xdr:rowOff>95250</xdr:rowOff>
              </from>
              <to>
                <xdr:col>6</xdr:col>
                <xdr:colOff>609600</xdr:colOff>
                <xdr:row>16</xdr:row>
                <xdr:rowOff>0</xdr:rowOff>
              </to>
            </anchor>
          </controlPr>
        </control>
      </mc:Choice>
      <mc:Fallback>
        <control shapeId="1027" r:id="rId4" name="axRegion"/>
      </mc:Fallback>
    </mc:AlternateContent>
    <mc:AlternateContent xmlns:mc="http://schemas.openxmlformats.org/markup-compatibility/2006">
      <mc:Choice Requires="x14">
        <control shapeId="1026" r:id="rId6" name="Button 2">
          <controlPr defaultSize="0" autoFill="0" autoPict="0" macro="[0]!importSales">
            <anchor moveWithCells="1" sizeWithCells="1">
              <from>
                <xdr:col>2</xdr:col>
                <xdr:colOff>76200</xdr:colOff>
                <xdr:row>13</xdr:row>
                <xdr:rowOff>28575</xdr:rowOff>
              </from>
              <to>
                <xdr:col>3</xdr:col>
                <xdr:colOff>114300</xdr:colOff>
                <xdr:row>15</xdr:row>
                <xdr:rowOff>66675</xdr:rowOff>
              </to>
            </anchor>
          </controlPr>
        </control>
      </mc:Choice>
    </mc:AlternateContent>
    <mc:AlternateContent xmlns:mc="http://schemas.openxmlformats.org/markup-compatibility/2006">
      <mc:Choice Requires="x14">
        <control shapeId="1028" r:id="rId7" name="Button 4">
          <controlPr defaultSize="0" autoFill="0" autoPict="0" macro="[0]!createReports">
            <anchor moveWithCells="1" sizeWithCells="1">
              <from>
                <xdr:col>5</xdr:col>
                <xdr:colOff>266700</xdr:colOff>
                <xdr:row>12</xdr:row>
                <xdr:rowOff>9525</xdr:rowOff>
              </from>
              <to>
                <xdr:col>7</xdr:col>
                <xdr:colOff>171450</xdr:colOff>
                <xdr:row>14</xdr:row>
                <xdr:rowOff>47625</xdr:rowOff>
              </to>
            </anchor>
          </controlPr>
        </control>
      </mc:Choice>
    </mc:AlternateContent>
    <mc:AlternateContent xmlns:mc="http://schemas.openxmlformats.org/markup-compatibility/2006">
      <mc:Choice Requires="x14">
        <control shapeId="1029" r:id="rId8" name="Button 5">
          <controlPr defaultSize="0" autoFill="0" autoPict="0" macro="[0]!createCSV">
            <anchor moveWithCells="1" sizeWithCells="1">
              <from>
                <xdr:col>9</xdr:col>
                <xdr:colOff>171450</xdr:colOff>
                <xdr:row>12</xdr:row>
                <xdr:rowOff>114300</xdr:rowOff>
              </from>
              <to>
                <xdr:col>11</xdr:col>
                <xdr:colOff>333375</xdr:colOff>
                <xdr:row>14</xdr:row>
                <xdr:rowOff>142875</xdr:rowOff>
              </to>
            </anchor>
          </controlPr>
        </control>
      </mc:Choice>
    </mc:AlternateContent>
    <mc:AlternateContent xmlns:mc="http://schemas.openxmlformats.org/markup-compatibility/2006">
      <mc:Choice Requires="x14">
        <control shapeId="1030" r:id="rId9" name="Button 6">
          <controlPr defaultSize="0" autoFill="0" autoPict="0" macro="[0]!clearOldMonth">
            <anchor moveWithCells="1" sizeWithCells="1">
              <from>
                <xdr:col>13</xdr:col>
                <xdr:colOff>323850</xdr:colOff>
                <xdr:row>20</xdr:row>
                <xdr:rowOff>47625</xdr:rowOff>
              </from>
              <to>
                <xdr:col>15</xdr:col>
                <xdr:colOff>485775</xdr:colOff>
                <xdr:row>22</xdr:row>
                <xdr:rowOff>85725</xdr:rowOff>
              </to>
            </anchor>
          </controlPr>
        </control>
      </mc:Choice>
    </mc:AlternateContent>
    <mc:AlternateContent xmlns:mc="http://schemas.openxmlformats.org/markup-compatibility/2006">
      <mc:Choice Requires="x14">
        <control shapeId="1033" r:id="rId10" name="Button 9">
          <controlPr defaultSize="0" autoFill="0" autoPict="0" macro="[0]!adminTasks">
            <anchor moveWithCells="1" sizeWithCells="1">
              <from>
                <xdr:col>13</xdr:col>
                <xdr:colOff>152400</xdr:colOff>
                <xdr:row>12</xdr:row>
                <xdr:rowOff>114300</xdr:rowOff>
              </from>
              <to>
                <xdr:col>15</xdr:col>
                <xdr:colOff>314325</xdr:colOff>
                <xdr:row>14</xdr:row>
                <xdr:rowOff>152400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All"/>
  <dimension ref="A1:H36"/>
  <sheetViews>
    <sheetView workbookViewId="0">
      <selection activeCell="H2" sqref="H2:H36"/>
    </sheetView>
  </sheetViews>
  <sheetFormatPr defaultColWidth="9.140625" defaultRowHeight="12.75" x14ac:dyDescent="0.2"/>
  <cols>
    <col min="1" max="1" width="13.5703125" style="4" customWidth="1"/>
    <col min="2" max="8" width="16" style="4" customWidth="1"/>
    <col min="9" max="16384" width="9.140625" style="4"/>
  </cols>
  <sheetData>
    <row r="1" spans="1:8" s="5" customFormat="1" x14ac:dyDescent="0.2">
      <c r="A1" s="58" t="s">
        <v>39</v>
      </c>
      <c r="B1" s="58" t="s">
        <v>2</v>
      </c>
      <c r="C1" s="58" t="s">
        <v>40</v>
      </c>
      <c r="D1" s="58" t="s">
        <v>49</v>
      </c>
      <c r="E1" s="58" t="s">
        <v>52</v>
      </c>
      <c r="F1" s="58" t="s">
        <v>43</v>
      </c>
      <c r="G1" s="58" t="s">
        <v>41</v>
      </c>
      <c r="H1" s="58" t="s">
        <v>42</v>
      </c>
    </row>
    <row r="2" spans="1:8" x14ac:dyDescent="0.2">
      <c r="A2" s="4" t="s">
        <v>30</v>
      </c>
      <c r="B2">
        <v>84030</v>
      </c>
      <c r="C2" s="23">
        <v>43380</v>
      </c>
      <c r="D2">
        <v>8050</v>
      </c>
      <c r="E2">
        <v>120</v>
      </c>
      <c r="F2" t="s">
        <v>89</v>
      </c>
      <c r="G2">
        <v>120</v>
      </c>
      <c r="H2">
        <v>6960</v>
      </c>
    </row>
    <row r="3" spans="1:8" x14ac:dyDescent="0.2">
      <c r="A3" s="4" t="s">
        <v>30</v>
      </c>
      <c r="B3">
        <v>84030</v>
      </c>
      <c r="C3" s="23">
        <v>43380</v>
      </c>
      <c r="D3">
        <v>8050</v>
      </c>
      <c r="E3">
        <v>104</v>
      </c>
      <c r="F3">
        <v>1</v>
      </c>
      <c r="G3">
        <v>430</v>
      </c>
      <c r="H3">
        <v>5160</v>
      </c>
    </row>
    <row r="4" spans="1:8" x14ac:dyDescent="0.2">
      <c r="A4" s="4" t="s">
        <v>30</v>
      </c>
      <c r="B4">
        <v>84030</v>
      </c>
      <c r="C4" s="23">
        <v>43380</v>
      </c>
      <c r="D4">
        <v>8050</v>
      </c>
      <c r="E4">
        <v>105</v>
      </c>
      <c r="F4" t="s">
        <v>89</v>
      </c>
      <c r="G4">
        <v>120</v>
      </c>
      <c r="H4">
        <v>1200</v>
      </c>
    </row>
    <row r="5" spans="1:8" x14ac:dyDescent="0.2">
      <c r="A5" s="4" t="s">
        <v>30</v>
      </c>
      <c r="B5">
        <v>84030</v>
      </c>
      <c r="C5" s="23">
        <v>43380</v>
      </c>
      <c r="D5">
        <v>8050</v>
      </c>
      <c r="E5">
        <v>107</v>
      </c>
      <c r="F5">
        <v>1</v>
      </c>
      <c r="G5">
        <v>690</v>
      </c>
      <c r="H5">
        <v>3450</v>
      </c>
    </row>
    <row r="6" spans="1:8" x14ac:dyDescent="0.2">
      <c r="A6" s="4" t="s">
        <v>30</v>
      </c>
      <c r="B6">
        <v>84031</v>
      </c>
      <c r="C6" s="23">
        <v>43381</v>
      </c>
      <c r="D6">
        <v>8040</v>
      </c>
      <c r="E6">
        <v>104</v>
      </c>
      <c r="F6" t="s">
        <v>89</v>
      </c>
      <c r="G6">
        <v>870</v>
      </c>
      <c r="H6">
        <v>10440</v>
      </c>
    </row>
    <row r="7" spans="1:8" x14ac:dyDescent="0.2">
      <c r="A7" s="4" t="s">
        <v>30</v>
      </c>
      <c r="B7">
        <v>84031</v>
      </c>
      <c r="C7" s="23">
        <v>43381</v>
      </c>
      <c r="D7">
        <v>8040</v>
      </c>
      <c r="E7">
        <v>107</v>
      </c>
      <c r="F7" t="s">
        <v>89</v>
      </c>
      <c r="G7">
        <v>760</v>
      </c>
      <c r="H7">
        <v>3800</v>
      </c>
    </row>
    <row r="8" spans="1:8" x14ac:dyDescent="0.2">
      <c r="A8" s="4" t="s">
        <v>30</v>
      </c>
      <c r="B8">
        <v>84031</v>
      </c>
      <c r="C8" s="23">
        <v>43381</v>
      </c>
      <c r="D8">
        <v>8040</v>
      </c>
      <c r="E8">
        <v>110</v>
      </c>
      <c r="F8">
        <v>2</v>
      </c>
      <c r="G8">
        <v>500</v>
      </c>
      <c r="H8">
        <v>30000</v>
      </c>
    </row>
    <row r="9" spans="1:8" x14ac:dyDescent="0.2">
      <c r="A9" s="4" t="s">
        <v>30</v>
      </c>
      <c r="B9">
        <v>88112</v>
      </c>
      <c r="C9" s="23">
        <v>43384</v>
      </c>
      <c r="D9">
        <v>8040</v>
      </c>
      <c r="E9">
        <v>110</v>
      </c>
      <c r="F9"/>
      <c r="G9">
        <v>480</v>
      </c>
      <c r="H9">
        <v>28800</v>
      </c>
    </row>
    <row r="10" spans="1:8" x14ac:dyDescent="0.2">
      <c r="A10" s="4" t="s">
        <v>30</v>
      </c>
      <c r="B10">
        <v>88112</v>
      </c>
      <c r="C10" s="23">
        <v>43384</v>
      </c>
      <c r="D10">
        <v>8040</v>
      </c>
      <c r="E10">
        <v>119</v>
      </c>
      <c r="F10" t="s">
        <v>89</v>
      </c>
      <c r="G10">
        <v>630</v>
      </c>
      <c r="H10">
        <v>39060</v>
      </c>
    </row>
    <row r="11" spans="1:8" x14ac:dyDescent="0.2">
      <c r="A11" s="4" t="s">
        <v>30</v>
      </c>
      <c r="B11">
        <v>88112</v>
      </c>
      <c r="C11" s="23">
        <v>43384</v>
      </c>
      <c r="D11">
        <v>8040</v>
      </c>
      <c r="E11">
        <v>120</v>
      </c>
      <c r="F11"/>
      <c r="G11">
        <v>150</v>
      </c>
      <c r="H11">
        <v>8700</v>
      </c>
    </row>
    <row r="12" spans="1:8" x14ac:dyDescent="0.2">
      <c r="A12" s="4" t="s">
        <v>30</v>
      </c>
      <c r="B12">
        <v>88112</v>
      </c>
      <c r="C12" s="23">
        <v>43384</v>
      </c>
      <c r="D12">
        <v>8040</v>
      </c>
      <c r="E12">
        <v>116</v>
      </c>
      <c r="F12">
        <v>4</v>
      </c>
      <c r="G12">
        <v>760</v>
      </c>
      <c r="H12">
        <v>4560</v>
      </c>
    </row>
    <row r="13" spans="1:8" x14ac:dyDescent="0.2">
      <c r="A13" s="4" t="s">
        <v>30</v>
      </c>
      <c r="B13">
        <v>88112</v>
      </c>
      <c r="C13" s="23">
        <v>43384</v>
      </c>
      <c r="D13">
        <v>8040</v>
      </c>
      <c r="E13">
        <v>111</v>
      </c>
      <c r="F13"/>
      <c r="G13">
        <v>590</v>
      </c>
      <c r="H13">
        <v>11800</v>
      </c>
    </row>
    <row r="14" spans="1:8" x14ac:dyDescent="0.2">
      <c r="A14" s="4" t="s">
        <v>30</v>
      </c>
      <c r="B14">
        <v>88112</v>
      </c>
      <c r="C14" s="23">
        <v>43384</v>
      </c>
      <c r="D14">
        <v>8040</v>
      </c>
      <c r="E14">
        <v>110</v>
      </c>
      <c r="F14"/>
      <c r="G14">
        <v>530</v>
      </c>
      <c r="H14">
        <v>31800</v>
      </c>
    </row>
    <row r="15" spans="1:8" x14ac:dyDescent="0.2">
      <c r="A15" s="4" t="s">
        <v>30</v>
      </c>
      <c r="B15">
        <v>88112</v>
      </c>
      <c r="C15" s="23">
        <v>43384</v>
      </c>
      <c r="D15">
        <v>8040</v>
      </c>
      <c r="E15">
        <v>109</v>
      </c>
      <c r="F15"/>
      <c r="G15">
        <v>260</v>
      </c>
      <c r="H15">
        <v>7280</v>
      </c>
    </row>
    <row r="16" spans="1:8" x14ac:dyDescent="0.2">
      <c r="A16" s="4" t="s">
        <v>30</v>
      </c>
      <c r="B16">
        <v>85442</v>
      </c>
      <c r="C16" s="23">
        <v>43388</v>
      </c>
      <c r="D16">
        <v>8050</v>
      </c>
      <c r="E16">
        <v>107</v>
      </c>
      <c r="F16"/>
      <c r="G16">
        <v>270</v>
      </c>
      <c r="H16">
        <v>1350</v>
      </c>
    </row>
    <row r="17" spans="1:8" x14ac:dyDescent="0.2">
      <c r="A17" s="4" t="s">
        <v>30</v>
      </c>
      <c r="B17">
        <v>85442</v>
      </c>
      <c r="C17" s="23">
        <v>43388</v>
      </c>
      <c r="D17">
        <v>8050</v>
      </c>
      <c r="E17">
        <v>103</v>
      </c>
      <c r="F17"/>
      <c r="G17">
        <v>630</v>
      </c>
      <c r="H17">
        <v>7560</v>
      </c>
    </row>
    <row r="18" spans="1:8" x14ac:dyDescent="0.2">
      <c r="A18" s="4" t="s">
        <v>30</v>
      </c>
      <c r="B18">
        <v>85442</v>
      </c>
      <c r="C18" s="23">
        <v>43388</v>
      </c>
      <c r="D18">
        <v>8050</v>
      </c>
      <c r="E18">
        <v>104</v>
      </c>
      <c r="F18"/>
      <c r="G18">
        <v>440</v>
      </c>
      <c r="H18">
        <v>5280</v>
      </c>
    </row>
    <row r="19" spans="1:8" x14ac:dyDescent="0.2">
      <c r="A19" s="4" t="s">
        <v>30</v>
      </c>
      <c r="B19">
        <v>85442</v>
      </c>
      <c r="C19" s="23">
        <v>43388</v>
      </c>
      <c r="D19">
        <v>8050</v>
      </c>
      <c r="E19">
        <v>120</v>
      </c>
      <c r="F19"/>
      <c r="G19">
        <v>500</v>
      </c>
      <c r="H19">
        <v>29000</v>
      </c>
    </row>
    <row r="20" spans="1:8" x14ac:dyDescent="0.2">
      <c r="A20" s="4" t="s">
        <v>30</v>
      </c>
      <c r="B20">
        <v>85442</v>
      </c>
      <c r="C20" s="23">
        <v>43388</v>
      </c>
      <c r="D20">
        <v>8050</v>
      </c>
      <c r="E20">
        <v>119</v>
      </c>
      <c r="F20">
        <v>1</v>
      </c>
      <c r="G20">
        <v>360</v>
      </c>
      <c r="H20">
        <v>22320</v>
      </c>
    </row>
    <row r="21" spans="1:8" x14ac:dyDescent="0.2">
      <c r="A21" s="4" t="s">
        <v>30</v>
      </c>
      <c r="B21">
        <v>85442</v>
      </c>
      <c r="C21" s="23">
        <v>43388</v>
      </c>
      <c r="D21">
        <v>8050</v>
      </c>
      <c r="E21">
        <v>115</v>
      </c>
      <c r="F21"/>
      <c r="G21">
        <v>810</v>
      </c>
      <c r="H21">
        <v>4860</v>
      </c>
    </row>
    <row r="22" spans="1:8" x14ac:dyDescent="0.2">
      <c r="A22" s="4" t="s">
        <v>30</v>
      </c>
      <c r="B22">
        <v>85442</v>
      </c>
      <c r="C22" s="23">
        <v>43388</v>
      </c>
      <c r="D22">
        <v>8050</v>
      </c>
      <c r="E22">
        <v>108</v>
      </c>
      <c r="F22"/>
      <c r="G22">
        <v>800</v>
      </c>
      <c r="H22">
        <v>22400</v>
      </c>
    </row>
    <row r="23" spans="1:8" x14ac:dyDescent="0.2">
      <c r="A23" s="4" t="s">
        <v>30</v>
      </c>
      <c r="B23">
        <v>88588</v>
      </c>
      <c r="C23" s="23">
        <v>43388</v>
      </c>
      <c r="D23">
        <v>8040</v>
      </c>
      <c r="E23">
        <v>120</v>
      </c>
      <c r="F23"/>
      <c r="G23">
        <v>470</v>
      </c>
      <c r="H23">
        <v>27260</v>
      </c>
    </row>
    <row r="24" spans="1:8" x14ac:dyDescent="0.2">
      <c r="A24" s="4" t="s">
        <v>30</v>
      </c>
      <c r="B24">
        <v>88588</v>
      </c>
      <c r="C24" s="23">
        <v>43388</v>
      </c>
      <c r="D24">
        <v>8040</v>
      </c>
      <c r="E24">
        <v>119</v>
      </c>
      <c r="F24"/>
      <c r="G24">
        <v>860</v>
      </c>
      <c r="H24">
        <v>53320</v>
      </c>
    </row>
    <row r="25" spans="1:8" x14ac:dyDescent="0.2">
      <c r="A25" s="4" t="s">
        <v>30</v>
      </c>
      <c r="B25">
        <v>88588</v>
      </c>
      <c r="C25" s="23">
        <v>43388</v>
      </c>
      <c r="D25">
        <v>8040</v>
      </c>
      <c r="E25">
        <v>110</v>
      </c>
      <c r="F25"/>
      <c r="G25">
        <v>180</v>
      </c>
      <c r="H25">
        <v>10800</v>
      </c>
    </row>
    <row r="26" spans="1:8" x14ac:dyDescent="0.2">
      <c r="A26" s="4" t="s">
        <v>30</v>
      </c>
      <c r="B26">
        <v>88588</v>
      </c>
      <c r="C26" s="23">
        <v>43388</v>
      </c>
      <c r="D26">
        <v>8040</v>
      </c>
      <c r="E26">
        <v>111</v>
      </c>
      <c r="F26"/>
      <c r="G26">
        <v>750</v>
      </c>
      <c r="H26">
        <v>15000</v>
      </c>
    </row>
    <row r="27" spans="1:8" x14ac:dyDescent="0.2">
      <c r="A27" s="4" t="s">
        <v>30</v>
      </c>
      <c r="B27">
        <v>88588</v>
      </c>
      <c r="C27" s="23">
        <v>43388</v>
      </c>
      <c r="D27">
        <v>8040</v>
      </c>
      <c r="E27">
        <v>109</v>
      </c>
      <c r="F27"/>
      <c r="G27">
        <v>560</v>
      </c>
      <c r="H27">
        <v>15680</v>
      </c>
    </row>
    <row r="28" spans="1:8" x14ac:dyDescent="0.2">
      <c r="A28" s="4" t="s">
        <v>30</v>
      </c>
      <c r="B28">
        <v>88588</v>
      </c>
      <c r="C28" s="23">
        <v>43388</v>
      </c>
      <c r="D28">
        <v>8040</v>
      </c>
      <c r="E28">
        <v>105</v>
      </c>
      <c r="F28"/>
      <c r="G28">
        <v>130</v>
      </c>
      <c r="H28">
        <v>1300</v>
      </c>
    </row>
    <row r="29" spans="1:8" x14ac:dyDescent="0.2">
      <c r="A29" s="4" t="s">
        <v>30</v>
      </c>
      <c r="B29">
        <v>88588</v>
      </c>
      <c r="C29" s="23">
        <v>43388</v>
      </c>
      <c r="D29">
        <v>8040</v>
      </c>
      <c r="E29">
        <v>103</v>
      </c>
      <c r="F29"/>
      <c r="G29">
        <v>110</v>
      </c>
      <c r="H29">
        <v>1320</v>
      </c>
    </row>
    <row r="30" spans="1:8" x14ac:dyDescent="0.2">
      <c r="A30" s="4" t="s">
        <v>30</v>
      </c>
      <c r="B30">
        <v>88544</v>
      </c>
      <c r="C30" s="23">
        <v>43395</v>
      </c>
      <c r="D30">
        <v>8040</v>
      </c>
      <c r="E30">
        <v>107</v>
      </c>
      <c r="F30"/>
      <c r="G30">
        <v>770</v>
      </c>
      <c r="H30">
        <v>3850</v>
      </c>
    </row>
    <row r="31" spans="1:8" x14ac:dyDescent="0.2">
      <c r="A31" s="4" t="s">
        <v>30</v>
      </c>
      <c r="B31">
        <v>88544</v>
      </c>
      <c r="C31" s="23">
        <v>43395</v>
      </c>
      <c r="D31">
        <v>8040</v>
      </c>
      <c r="E31">
        <v>120</v>
      </c>
      <c r="F31"/>
      <c r="G31">
        <v>300</v>
      </c>
      <c r="H31">
        <v>17400</v>
      </c>
    </row>
    <row r="32" spans="1:8" x14ac:dyDescent="0.2">
      <c r="A32" s="4" t="s">
        <v>30</v>
      </c>
      <c r="B32">
        <v>88666</v>
      </c>
      <c r="C32" s="23">
        <v>43399</v>
      </c>
      <c r="D32">
        <v>8030</v>
      </c>
      <c r="E32">
        <v>119</v>
      </c>
      <c r="F32"/>
      <c r="G32">
        <v>330</v>
      </c>
      <c r="H32">
        <v>20460</v>
      </c>
    </row>
    <row r="33" spans="1:8" x14ac:dyDescent="0.2">
      <c r="A33" s="4" t="s">
        <v>30</v>
      </c>
      <c r="B33">
        <v>88666</v>
      </c>
      <c r="C33" s="23">
        <v>43399</v>
      </c>
      <c r="D33">
        <v>8030</v>
      </c>
      <c r="E33">
        <v>107</v>
      </c>
      <c r="F33"/>
      <c r="G33">
        <v>460</v>
      </c>
      <c r="H33">
        <v>2300</v>
      </c>
    </row>
    <row r="34" spans="1:8" x14ac:dyDescent="0.2">
      <c r="A34" s="4" t="s">
        <v>30</v>
      </c>
      <c r="B34">
        <v>88666</v>
      </c>
      <c r="C34" s="23">
        <v>43399</v>
      </c>
      <c r="D34">
        <v>8030</v>
      </c>
      <c r="E34">
        <v>105</v>
      </c>
      <c r="F34">
        <v>1</v>
      </c>
      <c r="G34">
        <v>470</v>
      </c>
      <c r="H34">
        <v>4700</v>
      </c>
    </row>
    <row r="35" spans="1:8" x14ac:dyDescent="0.2">
      <c r="A35" s="4" t="s">
        <v>30</v>
      </c>
      <c r="B35">
        <v>88666</v>
      </c>
      <c r="C35" s="23">
        <v>43399</v>
      </c>
      <c r="D35">
        <v>8030</v>
      </c>
      <c r="E35">
        <v>115</v>
      </c>
      <c r="F35"/>
      <c r="G35">
        <v>390</v>
      </c>
      <c r="H35">
        <v>2340</v>
      </c>
    </row>
    <row r="36" spans="1:8" x14ac:dyDescent="0.2">
      <c r="A36" s="4" t="s">
        <v>30</v>
      </c>
      <c r="B36">
        <v>88666</v>
      </c>
      <c r="C36" s="23">
        <v>43399</v>
      </c>
      <c r="D36">
        <v>8030</v>
      </c>
      <c r="E36">
        <v>116</v>
      </c>
      <c r="F36"/>
      <c r="G36">
        <v>260</v>
      </c>
      <c r="H36">
        <v>1560</v>
      </c>
    </row>
  </sheetData>
  <autoFilter ref="A1:H36" xr:uid="{A87456C3-AD02-45F5-8248-FB525EBB9D90}"/>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Region"/>
  <dimension ref="A1:AF36"/>
  <sheetViews>
    <sheetView showGridLines="0" topLeftCell="N1" zoomScaleNormal="100" workbookViewId="0">
      <selection activeCell="A2" sqref="A2:H36"/>
    </sheetView>
  </sheetViews>
  <sheetFormatPr defaultRowHeight="12.75" outlineLevelCol="1" x14ac:dyDescent="0.2"/>
  <cols>
    <col min="1" max="1" width="14.140625" hidden="1" customWidth="1" outlineLevel="1"/>
    <col min="2" max="2" width="17.85546875" hidden="1" customWidth="1" outlineLevel="1"/>
    <col min="3" max="3" width="17" hidden="1" customWidth="1" outlineLevel="1"/>
    <col min="4" max="4" width="16.7109375" hidden="1" customWidth="1" outlineLevel="1"/>
    <col min="5" max="5" width="14" hidden="1" customWidth="1" outlineLevel="1"/>
    <col min="6" max="6" width="8.85546875" hidden="1" customWidth="1" outlineLevel="1"/>
    <col min="7" max="7" width="10.7109375" hidden="1" customWidth="1" outlineLevel="1"/>
    <col min="8" max="8" width="22.42578125" hidden="1" customWidth="1" outlineLevel="1"/>
    <col min="9" max="10" width="17.5703125" hidden="1" customWidth="1" outlineLevel="1"/>
    <col min="11" max="11" width="21.7109375" hidden="1" customWidth="1" outlineLevel="1"/>
    <col min="12" max="12" width="11.28515625" hidden="1" customWidth="1" outlineLevel="1"/>
    <col min="13" max="13" width="18.140625" hidden="1" customWidth="1" outlineLevel="1"/>
    <col min="14" max="14" width="12.85546875" customWidth="1" collapsed="1"/>
    <col min="15" max="15" width="4" customWidth="1"/>
    <col min="16" max="16" width="20.140625" customWidth="1"/>
    <col min="17" max="17" width="16.7109375" customWidth="1"/>
    <col min="18" max="18" width="15.28515625" customWidth="1"/>
    <col min="19" max="19" width="13.7109375" bestFit="1" customWidth="1"/>
    <col min="20" max="20" width="4" bestFit="1" customWidth="1"/>
    <col min="21" max="21" width="24.5703125" bestFit="1" customWidth="1"/>
    <col min="22" max="22" width="11.28515625" bestFit="1" customWidth="1"/>
    <col min="23" max="23" width="9.140625" bestFit="1" customWidth="1"/>
    <col min="24" max="24" width="7" bestFit="1" customWidth="1"/>
    <col min="25" max="25" width="24.5703125" bestFit="1" customWidth="1"/>
    <col min="26" max="26" width="7.28515625" bestFit="1" customWidth="1"/>
    <col min="27" max="27" width="8.7109375" bestFit="1" customWidth="1"/>
    <col min="28" max="28" width="15" bestFit="1" customWidth="1"/>
    <col min="29" max="29" width="6.42578125" customWidth="1"/>
    <col min="30" max="30" width="28.140625" bestFit="1" customWidth="1"/>
    <col min="31" max="31" width="17.7109375" bestFit="1" customWidth="1"/>
    <col min="32" max="32" width="9.140625" bestFit="1" customWidth="1"/>
    <col min="33" max="34" width="8" bestFit="1" customWidth="1"/>
    <col min="35" max="35" width="11.7109375" bestFit="1" customWidth="1"/>
  </cols>
  <sheetData>
    <row r="1" spans="1:32" ht="26.25" customHeight="1" x14ac:dyDescent="0.2">
      <c r="A1" s="24" t="s">
        <v>39</v>
      </c>
      <c r="B1" s="24" t="s">
        <v>2</v>
      </c>
      <c r="C1" s="24" t="s">
        <v>40</v>
      </c>
      <c r="D1" s="24" t="s">
        <v>49</v>
      </c>
      <c r="E1" s="24" t="s">
        <v>52</v>
      </c>
      <c r="F1" s="24" t="s">
        <v>43</v>
      </c>
      <c r="G1" s="24" t="s">
        <v>41</v>
      </c>
      <c r="H1" s="24" t="s">
        <v>90</v>
      </c>
      <c r="I1" s="24" t="s">
        <v>35</v>
      </c>
      <c r="J1" s="24" t="s">
        <v>44</v>
      </c>
      <c r="K1" s="24" t="s">
        <v>91</v>
      </c>
      <c r="L1" s="24" t="s">
        <v>3</v>
      </c>
      <c r="M1" s="24" t="s">
        <v>92</v>
      </c>
      <c r="P1" s="39" t="s">
        <v>98</v>
      </c>
      <c r="Q1" s="30"/>
      <c r="R1" s="30"/>
      <c r="S1" s="6"/>
      <c r="U1" s="38" t="s">
        <v>99</v>
      </c>
      <c r="V1" s="29"/>
      <c r="W1" s="29"/>
      <c r="X1" s="38">
        <v>201810</v>
      </c>
      <c r="Y1" s="29"/>
      <c r="Z1" s="29"/>
      <c r="AA1" s="29"/>
      <c r="AB1" s="13"/>
      <c r="AC1" s="13"/>
      <c r="AD1" s="38" t="s">
        <v>106</v>
      </c>
      <c r="AE1" s="29"/>
      <c r="AF1" s="29"/>
    </row>
    <row r="2" spans="1:32" x14ac:dyDescent="0.2">
      <c r="A2" s="4" t="s">
        <v>30</v>
      </c>
      <c r="B2">
        <v>84030</v>
      </c>
      <c r="C2" s="23">
        <v>43380</v>
      </c>
      <c r="D2">
        <v>8050</v>
      </c>
      <c r="E2">
        <v>120</v>
      </c>
      <c r="F2" t="s">
        <v>89</v>
      </c>
      <c r="G2">
        <v>120</v>
      </c>
      <c r="H2">
        <v>6960</v>
      </c>
      <c r="I2" t="str">
        <f>VLOOKUP(TableTemp[[#This Row],[Company ID]],MCompany[],2,FALSE)</f>
        <v>Bere Kleid</v>
      </c>
      <c r="J2" t="str">
        <f>VLOOKUP(TableTemp[[#This Row],[Customer code]],MCustomer[],2,FALSE)</f>
        <v>Aida GmbH</v>
      </c>
      <c r="K2" t="str">
        <f>VLOOKUP(TableTemp[[#This Row],[Article code]],MArticle[],2,FALSE)</f>
        <v>Women evening dress Cocktail red</v>
      </c>
      <c r="L2" t="str">
        <f>VLOOKUP(TableTemp[[#This Row],[Company ID]],MCompany[],3,FALSE)</f>
        <v>EUR</v>
      </c>
      <c r="M2">
        <f>ROUND(IF(LOWER(TableTemp[[#This Row],[Currency]])="usd",TableTemp[[#This Row],[Sales Local Currency]],TableTemp[[#This Row],[Sales Local Currency]]*VLOOKUP(MONTH(TableTemp[[#This Row],[Document Date]]),MExchange[],2,FALSE)), 2)</f>
        <v>8177.58</v>
      </c>
      <c r="P2" s="6"/>
    </row>
    <row r="3" spans="1:32" x14ac:dyDescent="0.2">
      <c r="A3" s="4" t="s">
        <v>30</v>
      </c>
      <c r="B3">
        <v>84030</v>
      </c>
      <c r="C3" s="23">
        <v>43380</v>
      </c>
      <c r="D3">
        <v>8050</v>
      </c>
      <c r="E3">
        <v>104</v>
      </c>
      <c r="F3">
        <v>1</v>
      </c>
      <c r="G3">
        <v>430</v>
      </c>
      <c r="H3">
        <v>5160</v>
      </c>
      <c r="I3" s="25" t="str">
        <f>VLOOKUP(TableTemp[[#This Row],[Company ID]],MCompany[],2,FALSE)</f>
        <v>Bere Kleid</v>
      </c>
      <c r="J3" s="25" t="str">
        <f>VLOOKUP(TableTemp[[#This Row],[Customer code]],MCustomer[],2,FALSE)</f>
        <v>Aida GmbH</v>
      </c>
      <c r="K3" s="25" t="str">
        <f>VLOOKUP(TableTemp[[#This Row],[Article code]],MArticle[],2,FALSE)</f>
        <v>Women type T simple black</v>
      </c>
      <c r="L3" s="25" t="str">
        <f>VLOOKUP(TableTemp[[#This Row],[Company ID]],MCompany[],3,FALSE)</f>
        <v>EUR</v>
      </c>
      <c r="M3" s="25">
        <f>ROUND(IF(LOWER(TableTemp[[#This Row],[Currency]])="usd",TableTemp[[#This Row],[Sales Local Currency]],TableTemp[[#This Row],[Sales Local Currency]]*VLOOKUP(MONTH(TableTemp[[#This Row],[Document Date]]),MExchange[],2,FALSE)), 2)</f>
        <v>6062.69</v>
      </c>
      <c r="O3" s="41"/>
      <c r="P3" s="6"/>
      <c r="T3" s="41"/>
      <c r="AB3" s="42"/>
      <c r="AD3" s="30" t="s">
        <v>93</v>
      </c>
      <c r="AE3" s="30" t="s">
        <v>105</v>
      </c>
      <c r="AF3" s="30" t="s">
        <v>102</v>
      </c>
    </row>
    <row r="4" spans="1:32" x14ac:dyDescent="0.2">
      <c r="A4" s="4" t="s">
        <v>30</v>
      </c>
      <c r="B4">
        <v>84030</v>
      </c>
      <c r="C4" s="23">
        <v>43380</v>
      </c>
      <c r="D4">
        <v>8050</v>
      </c>
      <c r="E4">
        <v>105</v>
      </c>
      <c r="F4" t="s">
        <v>89</v>
      </c>
      <c r="G4">
        <v>120</v>
      </c>
      <c r="H4">
        <v>1200</v>
      </c>
      <c r="I4" s="25" t="str">
        <f>VLOOKUP(TableTemp[[#This Row],[Company ID]],MCompany[],2,FALSE)</f>
        <v>Bere Kleid</v>
      </c>
      <c r="J4" s="25" t="str">
        <f>VLOOKUP(TableTemp[[#This Row],[Customer code]],MCustomer[],2,FALSE)</f>
        <v>Aida GmbH</v>
      </c>
      <c r="K4" s="25" t="str">
        <f>VLOOKUP(TableTemp[[#This Row],[Article code]],MArticle[],2,FALSE)</f>
        <v>Women crop top black</v>
      </c>
      <c r="L4" s="25" t="str">
        <f>VLOOKUP(TableTemp[[#This Row],[Company ID]],MCompany[],3,FALSE)</f>
        <v>EUR</v>
      </c>
      <c r="M4" s="25">
        <f>ROUND(IF(LOWER(TableTemp[[#This Row],[Currency]])="usd",TableTemp[[#This Row],[Sales Local Currency]],TableTemp[[#This Row],[Sales Local Currency]]*VLOOKUP(MONTH(TableTemp[[#This Row],[Document Date]]),MExchange[],2,FALSE)), 2)</f>
        <v>1409.93</v>
      </c>
      <c r="O4" s="41"/>
      <c r="P4" s="43" t="s">
        <v>95</v>
      </c>
      <c r="Q4" s="32" t="s">
        <v>96</v>
      </c>
      <c r="R4" s="33" t="s">
        <v>97</v>
      </c>
      <c r="T4" s="41"/>
      <c r="AB4" s="42"/>
      <c r="AD4" s="26" t="s">
        <v>34</v>
      </c>
      <c r="AE4" s="46">
        <v>544079.0199999999</v>
      </c>
      <c r="AF4" s="48">
        <v>16740</v>
      </c>
    </row>
    <row r="5" spans="1:32" x14ac:dyDescent="0.2">
      <c r="A5" s="4" t="s">
        <v>30</v>
      </c>
      <c r="B5">
        <v>84030</v>
      </c>
      <c r="C5" s="23">
        <v>43380</v>
      </c>
      <c r="D5">
        <v>8050</v>
      </c>
      <c r="E5">
        <v>107</v>
      </c>
      <c r="F5">
        <v>1</v>
      </c>
      <c r="G5">
        <v>690</v>
      </c>
      <c r="H5">
        <v>3450</v>
      </c>
      <c r="I5" s="25" t="str">
        <f>VLOOKUP(TableTemp[[#This Row],[Company ID]],MCompany[],2,FALSE)</f>
        <v>Bere Kleid</v>
      </c>
      <c r="J5" s="25" t="str">
        <f>VLOOKUP(TableTemp[[#This Row],[Customer code]],MCustomer[],2,FALSE)</f>
        <v>Aida GmbH</v>
      </c>
      <c r="K5" s="25" t="str">
        <f>VLOOKUP(TableTemp[[#This Row],[Article code]],MArticle[],2,FALSE)</f>
        <v>Women basics</v>
      </c>
      <c r="L5" s="25" t="str">
        <f>VLOOKUP(TableTemp[[#This Row],[Company ID]],MCompany[],3,FALSE)</f>
        <v>EUR</v>
      </c>
      <c r="M5" s="25">
        <f>ROUND(IF(LOWER(TableTemp[[#This Row],[Currency]])="usd",TableTemp[[#This Row],[Sales Local Currency]],TableTemp[[#This Row],[Sales Local Currency]]*VLOOKUP(MONTH(TableTemp[[#This Row],[Document Date]]),MExchange[],2,FALSE)), 2)</f>
        <v>4053.54</v>
      </c>
      <c r="O5" s="41"/>
      <c r="P5" s="55" t="s">
        <v>60</v>
      </c>
      <c r="Q5" s="36">
        <v>128702.83000000002</v>
      </c>
      <c r="R5" s="54">
        <v>0.2365517236816079</v>
      </c>
      <c r="T5" s="41"/>
      <c r="AB5" s="42"/>
      <c r="AD5" s="50" t="s">
        <v>60</v>
      </c>
      <c r="AE5" s="46">
        <v>128702.82999999999</v>
      </c>
      <c r="AF5" s="48">
        <v>5170</v>
      </c>
    </row>
    <row r="6" spans="1:32" x14ac:dyDescent="0.2">
      <c r="A6" s="4" t="s">
        <v>30</v>
      </c>
      <c r="B6">
        <v>84031</v>
      </c>
      <c r="C6" s="23">
        <v>43381</v>
      </c>
      <c r="D6">
        <v>8040</v>
      </c>
      <c r="E6">
        <v>104</v>
      </c>
      <c r="F6" t="s">
        <v>89</v>
      </c>
      <c r="G6">
        <v>870</v>
      </c>
      <c r="H6">
        <v>10440</v>
      </c>
      <c r="I6" s="25" t="str">
        <f>VLOOKUP(TableTemp[[#This Row],[Company ID]],MCompany[],2,FALSE)</f>
        <v>Bere Kleid</v>
      </c>
      <c r="J6" s="25" t="str">
        <f>VLOOKUP(TableTemp[[#This Row],[Customer code]],MCustomer[],2,FALSE)</f>
        <v>Werner Strauss</v>
      </c>
      <c r="K6" s="25" t="str">
        <f>VLOOKUP(TableTemp[[#This Row],[Article code]],MArticle[],2,FALSE)</f>
        <v>Women type T simple black</v>
      </c>
      <c r="L6" s="25" t="str">
        <f>VLOOKUP(TableTemp[[#This Row],[Company ID]],MCompany[],3,FALSE)</f>
        <v>EUR</v>
      </c>
      <c r="M6" s="25">
        <f>ROUND(IF(LOWER(TableTemp[[#This Row],[Currency]])="usd",TableTemp[[#This Row],[Sales Local Currency]],TableTemp[[#This Row],[Sales Local Currency]]*VLOOKUP(MONTH(TableTemp[[#This Row],[Document Date]]),MExchange[],2,FALSE)), 2)</f>
        <v>12266.36</v>
      </c>
      <c r="O6" s="41"/>
      <c r="P6" s="56" t="s">
        <v>59</v>
      </c>
      <c r="Q6" s="37">
        <v>378530.11</v>
      </c>
      <c r="R6" s="40">
        <v>0.6957263487204487</v>
      </c>
      <c r="T6" s="41"/>
      <c r="AB6" s="42"/>
      <c r="AD6" s="53" t="s">
        <v>11</v>
      </c>
      <c r="AE6" s="46">
        <v>26318.63</v>
      </c>
      <c r="AF6" s="48">
        <v>800</v>
      </c>
    </row>
    <row r="7" spans="1:32" x14ac:dyDescent="0.2">
      <c r="A7" s="4" t="s">
        <v>30</v>
      </c>
      <c r="B7">
        <v>84031</v>
      </c>
      <c r="C7" s="23">
        <v>43381</v>
      </c>
      <c r="D7">
        <v>8040</v>
      </c>
      <c r="E7">
        <v>107</v>
      </c>
      <c r="F7" t="s">
        <v>89</v>
      </c>
      <c r="G7">
        <v>760</v>
      </c>
      <c r="H7">
        <v>3800</v>
      </c>
      <c r="I7" s="25" t="str">
        <f>VLOOKUP(TableTemp[[#This Row],[Company ID]],MCompany[],2,FALSE)</f>
        <v>Bere Kleid</v>
      </c>
      <c r="J7" s="25" t="str">
        <f>VLOOKUP(TableTemp[[#This Row],[Customer code]],MCustomer[],2,FALSE)</f>
        <v>Werner Strauss</v>
      </c>
      <c r="K7" s="25" t="str">
        <f>VLOOKUP(TableTemp[[#This Row],[Article code]],MArticle[],2,FALSE)</f>
        <v>Women basics</v>
      </c>
      <c r="L7" s="25" t="str">
        <f>VLOOKUP(TableTemp[[#This Row],[Company ID]],MCompany[],3,FALSE)</f>
        <v>EUR</v>
      </c>
      <c r="M7" s="25">
        <f>ROUND(IF(LOWER(TableTemp[[#This Row],[Currency]])="usd",TableTemp[[#This Row],[Sales Local Currency]],TableTemp[[#This Row],[Sales Local Currency]]*VLOOKUP(MONTH(TableTemp[[#This Row],[Document Date]]),MExchange[],2,FALSE)), 2)</f>
        <v>4464.7700000000004</v>
      </c>
      <c r="O7" s="41"/>
      <c r="P7" s="56" t="s">
        <v>48</v>
      </c>
      <c r="Q7" s="37">
        <v>36846.080000000002</v>
      </c>
      <c r="R7" s="40">
        <v>6.7721927597943404E-2</v>
      </c>
      <c r="T7" s="41"/>
      <c r="AB7" s="42"/>
      <c r="AD7" s="53" t="s">
        <v>8</v>
      </c>
      <c r="AE7" s="46">
        <v>8882.5400000000009</v>
      </c>
      <c r="AF7" s="48">
        <v>630</v>
      </c>
    </row>
    <row r="8" spans="1:32" x14ac:dyDescent="0.2">
      <c r="A8" s="4" t="s">
        <v>30</v>
      </c>
      <c r="B8">
        <v>84031</v>
      </c>
      <c r="C8" s="23">
        <v>43381</v>
      </c>
      <c r="D8">
        <v>8040</v>
      </c>
      <c r="E8">
        <v>110</v>
      </c>
      <c r="F8">
        <v>2</v>
      </c>
      <c r="G8">
        <v>500</v>
      </c>
      <c r="H8">
        <v>30000</v>
      </c>
      <c r="I8" s="25" t="str">
        <f>VLOOKUP(TableTemp[[#This Row],[Company ID]],MCompany[],2,FALSE)</f>
        <v>Bere Kleid</v>
      </c>
      <c r="J8" s="25" t="str">
        <f>VLOOKUP(TableTemp[[#This Row],[Customer code]],MCustomer[],2,FALSE)</f>
        <v>Werner Strauss</v>
      </c>
      <c r="K8" s="25" t="str">
        <f>VLOOKUP(TableTemp[[#This Row],[Article code]],MArticle[],2,FALSE)</f>
        <v>Smartphone case diamond</v>
      </c>
      <c r="L8" s="25" t="str">
        <f>VLOOKUP(TableTemp[[#This Row],[Company ID]],MCompany[],3,FALSE)</f>
        <v>EUR</v>
      </c>
      <c r="M8" s="25">
        <f>ROUND(IF(LOWER(TableTemp[[#This Row],[Currency]])="usd",TableTemp[[#This Row],[Sales Local Currency]],TableTemp[[#This Row],[Sales Local Currency]]*VLOOKUP(MONTH(TableTemp[[#This Row],[Document Date]]),MExchange[],2,FALSE)), 2)</f>
        <v>35248.17</v>
      </c>
      <c r="O8" s="41"/>
      <c r="P8" s="44" t="s">
        <v>94</v>
      </c>
      <c r="Q8" s="34">
        <v>544079.02</v>
      </c>
      <c r="R8" s="35">
        <v>1</v>
      </c>
      <c r="T8" s="41"/>
      <c r="AB8" s="42"/>
      <c r="AD8" s="53" t="s">
        <v>9</v>
      </c>
      <c r="AE8" s="46">
        <v>12266.369999999999</v>
      </c>
      <c r="AF8" s="48">
        <v>870</v>
      </c>
    </row>
    <row r="9" spans="1:32" x14ac:dyDescent="0.2">
      <c r="A9" s="4" t="s">
        <v>30</v>
      </c>
      <c r="B9">
        <v>88112</v>
      </c>
      <c r="C9" s="23">
        <v>43384</v>
      </c>
      <c r="D9">
        <v>8040</v>
      </c>
      <c r="E9">
        <v>110</v>
      </c>
      <c r="G9">
        <v>480</v>
      </c>
      <c r="H9">
        <v>28800</v>
      </c>
      <c r="I9" s="25" t="str">
        <f>VLOOKUP(TableTemp[[#This Row],[Company ID]],MCompany[],2,FALSE)</f>
        <v>Bere Kleid</v>
      </c>
      <c r="J9" s="25" t="str">
        <f>VLOOKUP(TableTemp[[#This Row],[Customer code]],MCustomer[],2,FALSE)</f>
        <v>Werner Strauss</v>
      </c>
      <c r="K9" s="25" t="str">
        <f>VLOOKUP(TableTemp[[#This Row],[Article code]],MArticle[],2,FALSE)</f>
        <v>Smartphone case diamond</v>
      </c>
      <c r="L9" s="25" t="str">
        <f>VLOOKUP(TableTemp[[#This Row],[Company ID]],MCompany[],3,FALSE)</f>
        <v>EUR</v>
      </c>
      <c r="M9" s="25">
        <f>ROUND(IF(LOWER(TableTemp[[#This Row],[Currency]])="usd",TableTemp[[#This Row],[Sales Local Currency]],TableTemp[[#This Row],[Sales Local Currency]]*VLOOKUP(MONTH(TableTemp[[#This Row],[Document Date]]),MExchange[],2,FALSE)), 2)</f>
        <v>33838.239999999998</v>
      </c>
      <c r="O9" s="41"/>
      <c r="T9" s="41"/>
      <c r="AB9" s="42"/>
      <c r="AD9" s="53" t="s">
        <v>4</v>
      </c>
      <c r="AE9" s="46">
        <v>1409.93</v>
      </c>
      <c r="AF9" s="48">
        <v>120</v>
      </c>
    </row>
    <row r="10" spans="1:32" x14ac:dyDescent="0.2">
      <c r="A10" s="4" t="s">
        <v>30</v>
      </c>
      <c r="B10">
        <v>88112</v>
      </c>
      <c r="C10" s="23">
        <v>43384</v>
      </c>
      <c r="D10">
        <v>8040</v>
      </c>
      <c r="E10">
        <v>119</v>
      </c>
      <c r="F10" t="s">
        <v>89</v>
      </c>
      <c r="G10">
        <v>630</v>
      </c>
      <c r="H10">
        <v>39060</v>
      </c>
      <c r="I10" s="25" t="str">
        <f>VLOOKUP(TableTemp[[#This Row],[Company ID]],MCompany[],2,FALSE)</f>
        <v>Bere Kleid</v>
      </c>
      <c r="J10" s="25" t="str">
        <f>VLOOKUP(TableTemp[[#This Row],[Customer code]],MCustomer[],2,FALSE)</f>
        <v>Werner Strauss</v>
      </c>
      <c r="K10" s="25" t="str">
        <f>VLOOKUP(TableTemp[[#This Row],[Article code]],MArticle[],2,FALSE)</f>
        <v>Women evening dress long black</v>
      </c>
      <c r="L10" s="25" t="str">
        <f>VLOOKUP(TableTemp[[#This Row],[Company ID]],MCompany[],3,FALSE)</f>
        <v>EUR</v>
      </c>
      <c r="M10" s="25">
        <f>ROUND(IF(LOWER(TableTemp[[#This Row],[Currency]])="usd",TableTemp[[#This Row],[Sales Local Currency]],TableTemp[[#This Row],[Sales Local Currency]]*VLOOKUP(MONTH(TableTemp[[#This Row],[Document Date]]),MExchange[],2,FALSE)), 2)</f>
        <v>45893.120000000003</v>
      </c>
      <c r="O10" s="41"/>
      <c r="T10" s="41"/>
      <c r="U10" s="30" t="s">
        <v>100</v>
      </c>
      <c r="V10" s="30" t="s">
        <v>101</v>
      </c>
      <c r="W10" s="30" t="s">
        <v>102</v>
      </c>
      <c r="Y10" s="30" t="s">
        <v>93</v>
      </c>
      <c r="Z10" s="30" t="s">
        <v>103</v>
      </c>
      <c r="AA10" s="52" t="s">
        <v>104</v>
      </c>
      <c r="AB10" s="42"/>
      <c r="AD10" s="53" t="s">
        <v>10</v>
      </c>
      <c r="AE10" s="46">
        <v>5639.71</v>
      </c>
      <c r="AF10" s="48">
        <v>960</v>
      </c>
    </row>
    <row r="11" spans="1:32" x14ac:dyDescent="0.2">
      <c r="A11" s="4" t="s">
        <v>30</v>
      </c>
      <c r="B11">
        <v>88112</v>
      </c>
      <c r="C11" s="23">
        <v>43384</v>
      </c>
      <c r="D11">
        <v>8040</v>
      </c>
      <c r="E11">
        <v>120</v>
      </c>
      <c r="G11">
        <v>150</v>
      </c>
      <c r="H11">
        <v>8700</v>
      </c>
      <c r="I11" s="25" t="str">
        <f>VLOOKUP(TableTemp[[#This Row],[Company ID]],MCompany[],2,FALSE)</f>
        <v>Bere Kleid</v>
      </c>
      <c r="J11" s="25" t="str">
        <f>VLOOKUP(TableTemp[[#This Row],[Customer code]],MCustomer[],2,FALSE)</f>
        <v>Werner Strauss</v>
      </c>
      <c r="K11" s="25" t="str">
        <f>VLOOKUP(TableTemp[[#This Row],[Article code]],MArticle[],2,FALSE)</f>
        <v>Women evening dress Cocktail red</v>
      </c>
      <c r="L11" s="25" t="str">
        <f>VLOOKUP(TableTemp[[#This Row],[Company ID]],MCompany[],3,FALSE)</f>
        <v>EUR</v>
      </c>
      <c r="M11" s="25">
        <f>ROUND(IF(LOWER(TableTemp[[#This Row],[Currency]])="usd",TableTemp[[#This Row],[Sales Local Currency]],TableTemp[[#This Row],[Sales Local Currency]]*VLOOKUP(MONTH(TableTemp[[#This Row],[Document Date]]),MExchange[],2,FALSE)), 2)</f>
        <v>10221.969999999999</v>
      </c>
      <c r="O11" s="41"/>
      <c r="T11" s="41"/>
      <c r="U11" s="26" t="s">
        <v>11</v>
      </c>
      <c r="V11" s="46">
        <v>22400</v>
      </c>
      <c r="W11" s="48">
        <v>800</v>
      </c>
      <c r="Y11" s="26" t="s">
        <v>11</v>
      </c>
      <c r="Z11" s="25"/>
      <c r="AA11" s="28">
        <v>0</v>
      </c>
      <c r="AB11" s="42"/>
      <c r="AD11" s="53" t="s">
        <v>23</v>
      </c>
      <c r="AE11" s="46">
        <v>42250.810000000005</v>
      </c>
      <c r="AF11" s="48">
        <v>620</v>
      </c>
    </row>
    <row r="12" spans="1:32" x14ac:dyDescent="0.2">
      <c r="A12" s="4" t="s">
        <v>30</v>
      </c>
      <c r="B12">
        <v>88112</v>
      </c>
      <c r="C12" s="23">
        <v>43384</v>
      </c>
      <c r="D12">
        <v>8040</v>
      </c>
      <c r="E12">
        <v>116</v>
      </c>
      <c r="F12">
        <v>4</v>
      </c>
      <c r="G12">
        <v>760</v>
      </c>
      <c r="H12">
        <v>4560</v>
      </c>
      <c r="I12" s="25" t="str">
        <f>VLOOKUP(TableTemp[[#This Row],[Company ID]],MCompany[],2,FALSE)</f>
        <v>Bere Kleid</v>
      </c>
      <c r="J12" s="25" t="str">
        <f>VLOOKUP(TableTemp[[#This Row],[Customer code]],MCustomer[],2,FALSE)</f>
        <v>Werner Strauss</v>
      </c>
      <c r="K12" s="25" t="str">
        <f>VLOOKUP(TableTemp[[#This Row],[Article code]],MArticle[],2,FALSE)</f>
        <v>Unisex tank top white</v>
      </c>
      <c r="L12" s="25" t="str">
        <f>VLOOKUP(TableTemp[[#This Row],[Company ID]],MCompany[],3,FALSE)</f>
        <v>EUR</v>
      </c>
      <c r="M12" s="25">
        <f>ROUND(IF(LOWER(TableTemp[[#This Row],[Currency]])="usd",TableTemp[[#This Row],[Sales Local Currency]],TableTemp[[#This Row],[Sales Local Currency]]*VLOOKUP(MONTH(TableTemp[[#This Row],[Document Date]]),MExchange[],2,FALSE)), 2)</f>
        <v>5357.72</v>
      </c>
      <c r="O12" s="41"/>
      <c r="P12" s="6"/>
      <c r="R12" s="27"/>
      <c r="T12" s="41"/>
      <c r="U12" s="26" t="s">
        <v>12</v>
      </c>
      <c r="V12" s="46">
        <v>22960</v>
      </c>
      <c r="W12" s="48">
        <v>820</v>
      </c>
      <c r="Y12" s="26" t="s">
        <v>12</v>
      </c>
      <c r="Z12" s="25"/>
      <c r="AA12" s="28">
        <v>0</v>
      </c>
      <c r="AB12" s="42"/>
      <c r="AD12" s="53" t="s">
        <v>22</v>
      </c>
      <c r="AE12" s="46">
        <v>26224.639999999999</v>
      </c>
      <c r="AF12" s="48">
        <v>360</v>
      </c>
    </row>
    <row r="13" spans="1:32" x14ac:dyDescent="0.2">
      <c r="A13" s="4" t="s">
        <v>30</v>
      </c>
      <c r="B13">
        <v>88112</v>
      </c>
      <c r="C13" s="23">
        <v>43384</v>
      </c>
      <c r="D13">
        <v>8040</v>
      </c>
      <c r="E13">
        <v>111</v>
      </c>
      <c r="G13">
        <v>590</v>
      </c>
      <c r="H13">
        <v>11800</v>
      </c>
      <c r="I13" s="25" t="str">
        <f>VLOOKUP(TableTemp[[#This Row],[Company ID]],MCompany[],2,FALSE)</f>
        <v>Bere Kleid</v>
      </c>
      <c r="J13" s="25" t="str">
        <f>VLOOKUP(TableTemp[[#This Row],[Customer code]],MCustomer[],2,FALSE)</f>
        <v>Werner Strauss</v>
      </c>
      <c r="K13" s="25" t="str">
        <f>VLOOKUP(TableTemp[[#This Row],[Article code]],MArticle[],2,FALSE)</f>
        <v>Smartphone case simple</v>
      </c>
      <c r="L13" s="25" t="str">
        <f>VLOOKUP(TableTemp[[#This Row],[Company ID]],MCompany[],3,FALSE)</f>
        <v>EUR</v>
      </c>
      <c r="M13" s="25">
        <f>ROUND(IF(LOWER(TableTemp[[#This Row],[Currency]])="usd",TableTemp[[#This Row],[Sales Local Currency]],TableTemp[[#This Row],[Sales Local Currency]]*VLOOKUP(MONTH(TableTemp[[#This Row],[Document Date]]),MExchange[],2,FALSE)), 2)</f>
        <v>13864.28</v>
      </c>
      <c r="O13" s="41"/>
      <c r="P13" s="6"/>
      <c r="R13" s="27"/>
      <c r="T13" s="41"/>
      <c r="U13" s="26" t="s">
        <v>13</v>
      </c>
      <c r="V13" s="46">
        <v>101400</v>
      </c>
      <c r="W13" s="48">
        <v>1690</v>
      </c>
      <c r="Y13" s="26" t="s">
        <v>13</v>
      </c>
      <c r="Z13" s="25">
        <v>1</v>
      </c>
      <c r="AA13" s="28">
        <v>1.1834319526627219E-3</v>
      </c>
      <c r="AB13" s="42"/>
      <c r="AD13" s="53" t="s">
        <v>18</v>
      </c>
      <c r="AE13" s="46">
        <v>5710.2</v>
      </c>
      <c r="AF13" s="48">
        <v>810</v>
      </c>
    </row>
    <row r="14" spans="1:32" x14ac:dyDescent="0.2">
      <c r="A14" s="4" t="s">
        <v>30</v>
      </c>
      <c r="B14">
        <v>88112</v>
      </c>
      <c r="C14" s="23">
        <v>43384</v>
      </c>
      <c r="D14">
        <v>8040</v>
      </c>
      <c r="E14">
        <v>110</v>
      </c>
      <c r="G14">
        <v>530</v>
      </c>
      <c r="H14">
        <v>31800</v>
      </c>
      <c r="I14" s="25" t="str">
        <f>VLOOKUP(TableTemp[[#This Row],[Company ID]],MCompany[],2,FALSE)</f>
        <v>Bere Kleid</v>
      </c>
      <c r="J14" s="25" t="str">
        <f>VLOOKUP(TableTemp[[#This Row],[Customer code]],MCustomer[],2,FALSE)</f>
        <v>Werner Strauss</v>
      </c>
      <c r="K14" s="25" t="str">
        <f>VLOOKUP(TableTemp[[#This Row],[Article code]],MArticle[],2,FALSE)</f>
        <v>Smartphone case diamond</v>
      </c>
      <c r="L14" s="25" t="str">
        <f>VLOOKUP(TableTemp[[#This Row],[Company ID]],MCompany[],3,FALSE)</f>
        <v>EUR</v>
      </c>
      <c r="M14" s="25">
        <f>ROUND(IF(LOWER(TableTemp[[#This Row],[Currency]])="usd",TableTemp[[#This Row],[Sales Local Currency]],TableTemp[[#This Row],[Sales Local Currency]]*VLOOKUP(MONTH(TableTemp[[#This Row],[Document Date]]),MExchange[],2,FALSE)), 2)</f>
        <v>37363.06</v>
      </c>
      <c r="O14" s="41"/>
      <c r="P14" s="6"/>
      <c r="R14" s="27"/>
      <c r="T14" s="41"/>
      <c r="U14" s="26" t="s">
        <v>14</v>
      </c>
      <c r="V14" s="46">
        <v>26800</v>
      </c>
      <c r="W14" s="48">
        <v>1340</v>
      </c>
      <c r="Y14" s="26" t="s">
        <v>14</v>
      </c>
      <c r="Z14" s="25"/>
      <c r="AA14" s="28">
        <v>0</v>
      </c>
      <c r="AB14" s="42"/>
      <c r="AD14" s="50" t="s">
        <v>59</v>
      </c>
      <c r="AE14" s="46">
        <v>378530.11</v>
      </c>
      <c r="AF14" s="48">
        <v>9660</v>
      </c>
    </row>
    <row r="15" spans="1:32" x14ac:dyDescent="0.2">
      <c r="A15" s="4" t="s">
        <v>30</v>
      </c>
      <c r="B15">
        <v>88112</v>
      </c>
      <c r="C15" s="23">
        <v>43384</v>
      </c>
      <c r="D15">
        <v>8040</v>
      </c>
      <c r="E15">
        <v>109</v>
      </c>
      <c r="G15">
        <v>260</v>
      </c>
      <c r="H15">
        <v>7280</v>
      </c>
      <c r="I15" s="25" t="str">
        <f>VLOOKUP(TableTemp[[#This Row],[Company ID]],MCompany[],2,FALSE)</f>
        <v>Bere Kleid</v>
      </c>
      <c r="J15" s="25" t="str">
        <f>VLOOKUP(TableTemp[[#This Row],[Customer code]],MCustomer[],2,FALSE)</f>
        <v>Werner Strauss</v>
      </c>
      <c r="K15" s="25" t="str">
        <f>VLOOKUP(TableTemp[[#This Row],[Article code]],MArticle[],2,FALSE)</f>
        <v>Laptop bag red</v>
      </c>
      <c r="L15" s="25" t="str">
        <f>VLOOKUP(TableTemp[[#This Row],[Company ID]],MCompany[],3,FALSE)</f>
        <v>EUR</v>
      </c>
      <c r="M15" s="25">
        <f>ROUND(IF(LOWER(TableTemp[[#This Row],[Currency]])="usd",TableTemp[[#This Row],[Sales Local Currency]],TableTemp[[#This Row],[Sales Local Currency]]*VLOOKUP(MONTH(TableTemp[[#This Row],[Document Date]]),MExchange[],2,FALSE)), 2)</f>
        <v>8553.56</v>
      </c>
      <c r="O15" s="41"/>
      <c r="P15" s="6"/>
      <c r="T15" s="41"/>
      <c r="U15" s="26" t="s">
        <v>8</v>
      </c>
      <c r="V15" s="46">
        <v>8880</v>
      </c>
      <c r="W15" s="48">
        <v>740</v>
      </c>
      <c r="Y15" s="26" t="s">
        <v>8</v>
      </c>
      <c r="Z15" s="25"/>
      <c r="AA15" s="28">
        <v>0</v>
      </c>
      <c r="AB15" s="42"/>
      <c r="AD15" s="53" t="s">
        <v>12</v>
      </c>
      <c r="AE15" s="46">
        <v>26976.6</v>
      </c>
      <c r="AF15" s="48">
        <v>820</v>
      </c>
    </row>
    <row r="16" spans="1:32" x14ac:dyDescent="0.2">
      <c r="A16" s="4" t="s">
        <v>30</v>
      </c>
      <c r="B16">
        <v>85442</v>
      </c>
      <c r="C16" s="23">
        <v>43388</v>
      </c>
      <c r="D16">
        <v>8050</v>
      </c>
      <c r="E16">
        <v>107</v>
      </c>
      <c r="G16">
        <v>270</v>
      </c>
      <c r="H16">
        <v>1350</v>
      </c>
      <c r="I16" s="25" t="str">
        <f>VLOOKUP(TableTemp[[#This Row],[Company ID]],MCompany[],2,FALSE)</f>
        <v>Bere Kleid</v>
      </c>
      <c r="J16" s="25" t="str">
        <f>VLOOKUP(TableTemp[[#This Row],[Customer code]],MCustomer[],2,FALSE)</f>
        <v>Aida GmbH</v>
      </c>
      <c r="K16" s="25" t="str">
        <f>VLOOKUP(TableTemp[[#This Row],[Article code]],MArticle[],2,FALSE)</f>
        <v>Women basics</v>
      </c>
      <c r="L16" s="25" t="str">
        <f>VLOOKUP(TableTemp[[#This Row],[Company ID]],MCompany[],3,FALSE)</f>
        <v>EUR</v>
      </c>
      <c r="M16" s="25">
        <f>ROUND(IF(LOWER(TableTemp[[#This Row],[Currency]])="usd",TableTemp[[#This Row],[Sales Local Currency]],TableTemp[[#This Row],[Sales Local Currency]]*VLOOKUP(MONTH(TableTemp[[#This Row],[Document Date]]),MExchange[],2,FALSE)), 2)</f>
        <v>1586.17</v>
      </c>
      <c r="O16" s="41"/>
      <c r="P16" s="6"/>
      <c r="T16" s="41"/>
      <c r="U16" s="26" t="s">
        <v>9</v>
      </c>
      <c r="V16" s="46">
        <v>20880</v>
      </c>
      <c r="W16" s="48">
        <v>1740</v>
      </c>
      <c r="Y16" s="26" t="s">
        <v>9</v>
      </c>
      <c r="Z16" s="25">
        <v>2</v>
      </c>
      <c r="AA16" s="28">
        <v>5.7471264367816091E-4</v>
      </c>
      <c r="AB16" s="42"/>
      <c r="AD16" s="53" t="s">
        <v>13</v>
      </c>
      <c r="AE16" s="46">
        <v>119138.81</v>
      </c>
      <c r="AF16" s="48">
        <v>1690</v>
      </c>
    </row>
    <row r="17" spans="1:32" x14ac:dyDescent="0.2">
      <c r="A17" s="4" t="s">
        <v>30</v>
      </c>
      <c r="B17">
        <v>85442</v>
      </c>
      <c r="C17" s="23">
        <v>43388</v>
      </c>
      <c r="D17">
        <v>8050</v>
      </c>
      <c r="E17">
        <v>103</v>
      </c>
      <c r="G17">
        <v>630</v>
      </c>
      <c r="H17">
        <v>7560</v>
      </c>
      <c r="I17" s="25" t="str">
        <f>VLOOKUP(TableTemp[[#This Row],[Company ID]],MCompany[],2,FALSE)</f>
        <v>Bere Kleid</v>
      </c>
      <c r="J17" s="25" t="str">
        <f>VLOOKUP(TableTemp[[#This Row],[Customer code]],MCustomer[],2,FALSE)</f>
        <v>Aida GmbH</v>
      </c>
      <c r="K17" s="25" t="str">
        <f>VLOOKUP(TableTemp[[#This Row],[Article code]],MArticle[],2,FALSE)</f>
        <v>Women type T simple white</v>
      </c>
      <c r="L17" s="25" t="str">
        <f>VLOOKUP(TableTemp[[#This Row],[Company ID]],MCompany[],3,FALSE)</f>
        <v>EUR</v>
      </c>
      <c r="M17" s="25">
        <f>ROUND(IF(LOWER(TableTemp[[#This Row],[Currency]])="usd",TableTemp[[#This Row],[Sales Local Currency]],TableTemp[[#This Row],[Sales Local Currency]]*VLOOKUP(MONTH(TableTemp[[#This Row],[Document Date]]),MExchange[],2,FALSE)), 2)</f>
        <v>8882.5400000000009</v>
      </c>
      <c r="O17" s="41"/>
      <c r="P17" s="6"/>
      <c r="T17" s="41"/>
      <c r="U17" s="26" t="s">
        <v>4</v>
      </c>
      <c r="V17" s="46">
        <v>7200</v>
      </c>
      <c r="W17" s="48">
        <v>720</v>
      </c>
      <c r="Y17" s="26" t="s">
        <v>4</v>
      </c>
      <c r="Z17" s="25">
        <v>2</v>
      </c>
      <c r="AA17" s="28">
        <v>1.3888888888888889E-3</v>
      </c>
      <c r="AB17" s="42"/>
      <c r="AD17" s="53" t="s">
        <v>14</v>
      </c>
      <c r="AE17" s="46">
        <v>31488.370000000003</v>
      </c>
      <c r="AF17" s="48">
        <v>1340</v>
      </c>
    </row>
    <row r="18" spans="1:32" x14ac:dyDescent="0.2">
      <c r="A18" s="4" t="s">
        <v>30</v>
      </c>
      <c r="B18">
        <v>85442</v>
      </c>
      <c r="C18" s="23">
        <v>43388</v>
      </c>
      <c r="D18">
        <v>8050</v>
      </c>
      <c r="E18">
        <v>104</v>
      </c>
      <c r="G18">
        <v>440</v>
      </c>
      <c r="H18">
        <v>5280</v>
      </c>
      <c r="I18" s="25" t="str">
        <f>VLOOKUP(TableTemp[[#This Row],[Company ID]],MCompany[],2,FALSE)</f>
        <v>Bere Kleid</v>
      </c>
      <c r="J18" s="25" t="str">
        <f>VLOOKUP(TableTemp[[#This Row],[Customer code]],MCustomer[],2,FALSE)</f>
        <v>Aida GmbH</v>
      </c>
      <c r="K18" s="25" t="str">
        <f>VLOOKUP(TableTemp[[#This Row],[Article code]],MArticle[],2,FALSE)</f>
        <v>Women type T simple black</v>
      </c>
      <c r="L18" s="25" t="str">
        <f>VLOOKUP(TableTemp[[#This Row],[Company ID]],MCompany[],3,FALSE)</f>
        <v>EUR</v>
      </c>
      <c r="M18" s="25">
        <f>ROUND(IF(LOWER(TableTemp[[#This Row],[Currency]])="usd",TableTemp[[#This Row],[Sales Local Currency]],TableTemp[[#This Row],[Sales Local Currency]]*VLOOKUP(MONTH(TableTemp[[#This Row],[Document Date]]),MExchange[],2,FALSE)), 2)</f>
        <v>6203.68</v>
      </c>
      <c r="O18" s="41"/>
      <c r="P18" s="6"/>
      <c r="T18" s="41"/>
      <c r="U18" s="26" t="s">
        <v>10</v>
      </c>
      <c r="V18" s="46">
        <v>14750</v>
      </c>
      <c r="W18" s="48">
        <v>2950</v>
      </c>
      <c r="Y18" s="26" t="s">
        <v>10</v>
      </c>
      <c r="Z18" s="25">
        <v>2</v>
      </c>
      <c r="AA18" s="28">
        <v>3.3898305084745765E-4</v>
      </c>
      <c r="AB18" s="42"/>
      <c r="AD18" s="53" t="s">
        <v>8</v>
      </c>
      <c r="AE18" s="46">
        <v>1550.92</v>
      </c>
      <c r="AF18" s="48">
        <v>110</v>
      </c>
    </row>
    <row r="19" spans="1:32" x14ac:dyDescent="0.2">
      <c r="A19" s="4" t="s">
        <v>30</v>
      </c>
      <c r="B19">
        <v>85442</v>
      </c>
      <c r="C19" s="23">
        <v>43388</v>
      </c>
      <c r="D19">
        <v>8050</v>
      </c>
      <c r="E19">
        <v>120</v>
      </c>
      <c r="G19">
        <v>500</v>
      </c>
      <c r="H19">
        <v>29000</v>
      </c>
      <c r="I19" s="25" t="str">
        <f>VLOOKUP(TableTemp[[#This Row],[Company ID]],MCompany[],2,FALSE)</f>
        <v>Bere Kleid</v>
      </c>
      <c r="J19" s="25" t="str">
        <f>VLOOKUP(TableTemp[[#This Row],[Customer code]],MCustomer[],2,FALSE)</f>
        <v>Aida GmbH</v>
      </c>
      <c r="K19" s="25" t="str">
        <f>VLOOKUP(TableTemp[[#This Row],[Article code]],MArticle[],2,FALSE)</f>
        <v>Women evening dress Cocktail red</v>
      </c>
      <c r="L19" s="25" t="str">
        <f>VLOOKUP(TableTemp[[#This Row],[Company ID]],MCompany[],3,FALSE)</f>
        <v>EUR</v>
      </c>
      <c r="M19" s="25">
        <f>ROUND(IF(LOWER(TableTemp[[#This Row],[Currency]])="usd",TableTemp[[#This Row],[Sales Local Currency]],TableTemp[[#This Row],[Sales Local Currency]]*VLOOKUP(MONTH(TableTemp[[#This Row],[Document Date]]),MExchange[],2,FALSE)), 2)</f>
        <v>34073.230000000003</v>
      </c>
      <c r="O19" s="41"/>
      <c r="P19" s="6"/>
      <c r="T19" s="41"/>
      <c r="U19" s="26" t="s">
        <v>19</v>
      </c>
      <c r="V19" s="46">
        <v>6120</v>
      </c>
      <c r="W19" s="48">
        <v>1020</v>
      </c>
      <c r="Y19" s="26" t="s">
        <v>19</v>
      </c>
      <c r="Z19" s="25">
        <v>1</v>
      </c>
      <c r="AA19" s="28">
        <v>3.9215686274509803E-3</v>
      </c>
      <c r="AB19" s="42"/>
      <c r="AD19" s="53" t="s">
        <v>9</v>
      </c>
      <c r="AE19" s="46">
        <v>12266.36</v>
      </c>
      <c r="AF19" s="48">
        <v>870</v>
      </c>
    </row>
    <row r="20" spans="1:32" x14ac:dyDescent="0.2">
      <c r="A20" s="4" t="s">
        <v>30</v>
      </c>
      <c r="B20">
        <v>85442</v>
      </c>
      <c r="C20" s="23">
        <v>43388</v>
      </c>
      <c r="D20">
        <v>8050</v>
      </c>
      <c r="E20">
        <v>119</v>
      </c>
      <c r="F20">
        <v>1</v>
      </c>
      <c r="G20">
        <v>360</v>
      </c>
      <c r="H20">
        <v>22320</v>
      </c>
      <c r="I20" s="25" t="str">
        <f>VLOOKUP(TableTemp[[#This Row],[Company ID]],MCompany[],2,FALSE)</f>
        <v>Bere Kleid</v>
      </c>
      <c r="J20" s="25" t="str">
        <f>VLOOKUP(TableTemp[[#This Row],[Customer code]],MCustomer[],2,FALSE)</f>
        <v>Aida GmbH</v>
      </c>
      <c r="K20" s="25" t="str">
        <f>VLOOKUP(TableTemp[[#This Row],[Article code]],MArticle[],2,FALSE)</f>
        <v>Women evening dress long black</v>
      </c>
      <c r="L20" s="25" t="str">
        <f>VLOOKUP(TableTemp[[#This Row],[Company ID]],MCompany[],3,FALSE)</f>
        <v>EUR</v>
      </c>
      <c r="M20" s="25">
        <f>ROUND(IF(LOWER(TableTemp[[#This Row],[Currency]])="usd",TableTemp[[#This Row],[Sales Local Currency]],TableTemp[[#This Row],[Sales Local Currency]]*VLOOKUP(MONTH(TableTemp[[#This Row],[Document Date]]),MExchange[],2,FALSE)), 2)</f>
        <v>26224.639999999999</v>
      </c>
      <c r="O20" s="41"/>
      <c r="P20" s="6"/>
      <c r="T20" s="41"/>
      <c r="U20" s="26" t="s">
        <v>23</v>
      </c>
      <c r="V20" s="46">
        <v>89320</v>
      </c>
      <c r="W20" s="48">
        <v>1540</v>
      </c>
      <c r="Y20" s="26" t="s">
        <v>23</v>
      </c>
      <c r="Z20" s="25">
        <v>1</v>
      </c>
      <c r="AA20" s="28">
        <v>0</v>
      </c>
      <c r="AB20" s="42"/>
      <c r="AD20" s="53" t="s">
        <v>4</v>
      </c>
      <c r="AE20" s="46">
        <v>1527.42</v>
      </c>
      <c r="AF20" s="48">
        <v>130</v>
      </c>
    </row>
    <row r="21" spans="1:32" x14ac:dyDescent="0.2">
      <c r="A21" s="4" t="s">
        <v>30</v>
      </c>
      <c r="B21">
        <v>85442</v>
      </c>
      <c r="C21" s="23">
        <v>43388</v>
      </c>
      <c r="D21">
        <v>8050</v>
      </c>
      <c r="E21">
        <v>115</v>
      </c>
      <c r="G21">
        <v>810</v>
      </c>
      <c r="H21">
        <v>4860</v>
      </c>
      <c r="I21" s="25" t="str">
        <f>VLOOKUP(TableTemp[[#This Row],[Company ID]],MCompany[],2,FALSE)</f>
        <v>Bere Kleid</v>
      </c>
      <c r="J21" s="25" t="str">
        <f>VLOOKUP(TableTemp[[#This Row],[Customer code]],MCustomer[],2,FALSE)</f>
        <v>Aida GmbH</v>
      </c>
      <c r="K21" s="25" t="str">
        <f>VLOOKUP(TableTemp[[#This Row],[Article code]],MArticle[],2,FALSE)</f>
        <v>Unisex tank top black</v>
      </c>
      <c r="L21" s="25" t="str">
        <f>VLOOKUP(TableTemp[[#This Row],[Company ID]],MCompany[],3,FALSE)</f>
        <v>EUR</v>
      </c>
      <c r="M21" s="25">
        <f>ROUND(IF(LOWER(TableTemp[[#This Row],[Currency]])="usd",TableTemp[[#This Row],[Sales Local Currency]],TableTemp[[#This Row],[Sales Local Currency]]*VLOOKUP(MONTH(TableTemp[[#This Row],[Document Date]]),MExchange[],2,FALSE)), 2)</f>
        <v>5710.2</v>
      </c>
      <c r="O21" s="41"/>
      <c r="P21" s="6"/>
      <c r="T21" s="41"/>
      <c r="U21" s="26" t="s">
        <v>22</v>
      </c>
      <c r="V21" s="46">
        <v>135160</v>
      </c>
      <c r="W21" s="48">
        <v>2180</v>
      </c>
      <c r="Y21" s="26" t="s">
        <v>22</v>
      </c>
      <c r="Z21" s="25">
        <v>2</v>
      </c>
      <c r="AA21" s="28">
        <v>4.5871559633027525E-4</v>
      </c>
      <c r="AB21" s="42"/>
      <c r="AD21" s="53" t="s">
        <v>10</v>
      </c>
      <c r="AE21" s="46">
        <v>8988.2900000000009</v>
      </c>
      <c r="AF21" s="48">
        <v>1530</v>
      </c>
    </row>
    <row r="22" spans="1:32" x14ac:dyDescent="0.2">
      <c r="A22" s="4" t="s">
        <v>30</v>
      </c>
      <c r="B22">
        <v>85442</v>
      </c>
      <c r="C22" s="23">
        <v>43388</v>
      </c>
      <c r="D22">
        <v>8050</v>
      </c>
      <c r="E22">
        <v>108</v>
      </c>
      <c r="G22">
        <v>800</v>
      </c>
      <c r="H22">
        <v>22400</v>
      </c>
      <c r="I22" s="25" t="str">
        <f>VLOOKUP(TableTemp[[#This Row],[Company ID]],MCompany[],2,FALSE)</f>
        <v>Bere Kleid</v>
      </c>
      <c r="J22" s="25" t="str">
        <f>VLOOKUP(TableTemp[[#This Row],[Customer code]],MCustomer[],2,FALSE)</f>
        <v>Aida GmbH</v>
      </c>
      <c r="K22" s="25" t="str">
        <f>VLOOKUP(TableTemp[[#This Row],[Article code]],MArticle[],2,FALSE)</f>
        <v>Laptop bag black</v>
      </c>
      <c r="L22" s="25" t="str">
        <f>VLOOKUP(TableTemp[[#This Row],[Company ID]],MCompany[],3,FALSE)</f>
        <v>EUR</v>
      </c>
      <c r="M22" s="25">
        <f>ROUND(IF(LOWER(TableTemp[[#This Row],[Currency]])="usd",TableTemp[[#This Row],[Sales Local Currency]],TableTemp[[#This Row],[Sales Local Currency]]*VLOOKUP(MONTH(TableTemp[[#This Row],[Document Date]]),MExchange[],2,FALSE)), 2)</f>
        <v>26318.63</v>
      </c>
      <c r="O22" s="41"/>
      <c r="P22" s="6"/>
      <c r="T22" s="41"/>
      <c r="U22" s="26" t="s">
        <v>18</v>
      </c>
      <c r="V22" s="46">
        <v>7200</v>
      </c>
      <c r="W22" s="48">
        <v>1200</v>
      </c>
      <c r="Y22" s="26" t="s">
        <v>18</v>
      </c>
      <c r="Z22" s="25"/>
      <c r="AA22" s="28">
        <v>0</v>
      </c>
      <c r="AB22" s="42"/>
      <c r="AD22" s="53" t="s">
        <v>19</v>
      </c>
      <c r="AE22" s="46">
        <v>5357.72</v>
      </c>
      <c r="AF22" s="48">
        <v>760</v>
      </c>
    </row>
    <row r="23" spans="1:32" x14ac:dyDescent="0.2">
      <c r="A23" s="4" t="s">
        <v>30</v>
      </c>
      <c r="B23">
        <v>88588</v>
      </c>
      <c r="C23" s="23">
        <v>43388</v>
      </c>
      <c r="D23">
        <v>8040</v>
      </c>
      <c r="E23">
        <v>120</v>
      </c>
      <c r="G23">
        <v>470</v>
      </c>
      <c r="H23">
        <v>27260</v>
      </c>
      <c r="I23" s="25" t="str">
        <f>VLOOKUP(TableTemp[[#This Row],[Company ID]],MCompany[],2,FALSE)</f>
        <v>Bere Kleid</v>
      </c>
      <c r="J23" s="25" t="str">
        <f>VLOOKUP(TableTemp[[#This Row],[Customer code]],MCustomer[],2,FALSE)</f>
        <v>Werner Strauss</v>
      </c>
      <c r="K23" s="25" t="str">
        <f>VLOOKUP(TableTemp[[#This Row],[Article code]],MArticle[],2,FALSE)</f>
        <v>Women evening dress Cocktail red</v>
      </c>
      <c r="L23" s="25" t="str">
        <f>VLOOKUP(TableTemp[[#This Row],[Company ID]],MCompany[],3,FALSE)</f>
        <v>EUR</v>
      </c>
      <c r="M23" s="25">
        <f>ROUND(IF(LOWER(TableTemp[[#This Row],[Currency]])="usd",TableTemp[[#This Row],[Sales Local Currency]],TableTemp[[#This Row],[Sales Local Currency]]*VLOOKUP(MONTH(TableTemp[[#This Row],[Document Date]]),MExchange[],2,FALSE)), 2)</f>
        <v>32028.84</v>
      </c>
      <c r="O23" s="41"/>
      <c r="P23" s="6"/>
      <c r="T23" s="41"/>
      <c r="U23" s="31" t="s">
        <v>94</v>
      </c>
      <c r="V23" s="47">
        <v>463070</v>
      </c>
      <c r="W23" s="49">
        <v>16740</v>
      </c>
      <c r="Y23" s="31" t="s">
        <v>94</v>
      </c>
      <c r="Z23" s="45">
        <v>11</v>
      </c>
      <c r="AA23" s="51">
        <v>5.9737156511350056E-4</v>
      </c>
      <c r="AB23" s="42"/>
      <c r="AD23" s="53" t="s">
        <v>23</v>
      </c>
      <c r="AE23" s="46">
        <v>62694.75</v>
      </c>
      <c r="AF23" s="48">
        <v>920</v>
      </c>
    </row>
    <row r="24" spans="1:32" x14ac:dyDescent="0.2">
      <c r="A24" s="4" t="s">
        <v>30</v>
      </c>
      <c r="B24">
        <v>88588</v>
      </c>
      <c r="C24" s="23">
        <v>43388</v>
      </c>
      <c r="D24">
        <v>8040</v>
      </c>
      <c r="E24">
        <v>119</v>
      </c>
      <c r="G24">
        <v>860</v>
      </c>
      <c r="H24">
        <v>53320</v>
      </c>
      <c r="I24" s="25" t="str">
        <f>VLOOKUP(TableTemp[[#This Row],[Company ID]],MCompany[],2,FALSE)</f>
        <v>Bere Kleid</v>
      </c>
      <c r="J24" s="25" t="str">
        <f>VLOOKUP(TableTemp[[#This Row],[Customer code]],MCustomer[],2,FALSE)</f>
        <v>Werner Strauss</v>
      </c>
      <c r="K24" s="25" t="str">
        <f>VLOOKUP(TableTemp[[#This Row],[Article code]],MArticle[],2,FALSE)</f>
        <v>Women evening dress long black</v>
      </c>
      <c r="L24" s="25" t="str">
        <f>VLOOKUP(TableTemp[[#This Row],[Company ID]],MCompany[],3,FALSE)</f>
        <v>EUR</v>
      </c>
      <c r="M24" s="25">
        <f>ROUND(IF(LOWER(TableTemp[[#This Row],[Currency]])="usd",TableTemp[[#This Row],[Sales Local Currency]],TableTemp[[#This Row],[Sales Local Currency]]*VLOOKUP(MONTH(TableTemp[[#This Row],[Document Date]]),MExchange[],2,FALSE)), 2)</f>
        <v>62647.75</v>
      </c>
      <c r="O24" s="41"/>
      <c r="P24" s="6"/>
      <c r="T24" s="41"/>
      <c r="AB24" s="42"/>
      <c r="AD24" s="53" t="s">
        <v>22</v>
      </c>
      <c r="AE24" s="46">
        <v>108540.87</v>
      </c>
      <c r="AF24" s="48">
        <v>1490</v>
      </c>
    </row>
    <row r="25" spans="1:32" x14ac:dyDescent="0.2">
      <c r="A25" s="4" t="s">
        <v>30</v>
      </c>
      <c r="B25">
        <v>88588</v>
      </c>
      <c r="C25" s="23">
        <v>43388</v>
      </c>
      <c r="D25">
        <v>8040</v>
      </c>
      <c r="E25">
        <v>110</v>
      </c>
      <c r="G25">
        <v>180</v>
      </c>
      <c r="H25">
        <v>10800</v>
      </c>
      <c r="I25" s="25" t="str">
        <f>VLOOKUP(TableTemp[[#This Row],[Company ID]],MCompany[],2,FALSE)</f>
        <v>Bere Kleid</v>
      </c>
      <c r="J25" s="25" t="str">
        <f>VLOOKUP(TableTemp[[#This Row],[Customer code]],MCustomer[],2,FALSE)</f>
        <v>Werner Strauss</v>
      </c>
      <c r="K25" s="25" t="str">
        <f>VLOOKUP(TableTemp[[#This Row],[Article code]],MArticle[],2,FALSE)</f>
        <v>Smartphone case diamond</v>
      </c>
      <c r="L25" s="25" t="str">
        <f>VLOOKUP(TableTemp[[#This Row],[Company ID]],MCompany[],3,FALSE)</f>
        <v>EUR</v>
      </c>
      <c r="M25" s="25">
        <f>ROUND(IF(LOWER(TableTemp[[#This Row],[Currency]])="usd",TableTemp[[#This Row],[Sales Local Currency]],TableTemp[[#This Row],[Sales Local Currency]]*VLOOKUP(MONTH(TableTemp[[#This Row],[Document Date]]),MExchange[],2,FALSE)), 2)</f>
        <v>12689.34</v>
      </c>
      <c r="O25" s="41"/>
      <c r="P25" s="6"/>
      <c r="T25" s="41"/>
      <c r="AB25" s="42"/>
      <c r="AD25" s="50" t="s">
        <v>48</v>
      </c>
      <c r="AE25" s="46">
        <v>36846.080000000002</v>
      </c>
      <c r="AF25" s="48">
        <v>1910</v>
      </c>
    </row>
    <row r="26" spans="1:32" x14ac:dyDescent="0.2">
      <c r="A26" s="4" t="s">
        <v>30</v>
      </c>
      <c r="B26">
        <v>88588</v>
      </c>
      <c r="C26" s="23">
        <v>43388</v>
      </c>
      <c r="D26">
        <v>8040</v>
      </c>
      <c r="E26">
        <v>111</v>
      </c>
      <c r="G26">
        <v>750</v>
      </c>
      <c r="H26">
        <v>15000</v>
      </c>
      <c r="I26" s="25" t="str">
        <f>VLOOKUP(TableTemp[[#This Row],[Company ID]],MCompany[],2,FALSE)</f>
        <v>Bere Kleid</v>
      </c>
      <c r="J26" s="25" t="str">
        <f>VLOOKUP(TableTemp[[#This Row],[Customer code]],MCustomer[],2,FALSE)</f>
        <v>Werner Strauss</v>
      </c>
      <c r="K26" s="25" t="str">
        <f>VLOOKUP(TableTemp[[#This Row],[Article code]],MArticle[],2,FALSE)</f>
        <v>Smartphone case simple</v>
      </c>
      <c r="L26" s="25" t="str">
        <f>VLOOKUP(TableTemp[[#This Row],[Company ID]],MCompany[],3,FALSE)</f>
        <v>EUR</v>
      </c>
      <c r="M26" s="25">
        <f>ROUND(IF(LOWER(TableTemp[[#This Row],[Currency]])="usd",TableTemp[[#This Row],[Sales Local Currency]],TableTemp[[#This Row],[Sales Local Currency]]*VLOOKUP(MONTH(TableTemp[[#This Row],[Document Date]]),MExchange[],2,FALSE)), 2)</f>
        <v>17624.09</v>
      </c>
      <c r="O26" s="41"/>
      <c r="P26" s="6"/>
      <c r="T26" s="41"/>
      <c r="AB26" s="42"/>
      <c r="AD26" s="53" t="s">
        <v>4</v>
      </c>
      <c r="AE26" s="46">
        <v>5522.21</v>
      </c>
      <c r="AF26" s="48">
        <v>470</v>
      </c>
    </row>
    <row r="27" spans="1:32" x14ac:dyDescent="0.2">
      <c r="A27" s="4" t="s">
        <v>30</v>
      </c>
      <c r="B27">
        <v>88588</v>
      </c>
      <c r="C27" s="23">
        <v>43388</v>
      </c>
      <c r="D27">
        <v>8040</v>
      </c>
      <c r="E27">
        <v>109</v>
      </c>
      <c r="G27">
        <v>560</v>
      </c>
      <c r="H27">
        <v>15680</v>
      </c>
      <c r="I27" s="25" t="str">
        <f>VLOOKUP(TableTemp[[#This Row],[Company ID]],MCompany[],2,FALSE)</f>
        <v>Bere Kleid</v>
      </c>
      <c r="J27" s="25" t="str">
        <f>VLOOKUP(TableTemp[[#This Row],[Customer code]],MCustomer[],2,FALSE)</f>
        <v>Werner Strauss</v>
      </c>
      <c r="K27" s="25" t="str">
        <f>VLOOKUP(TableTemp[[#This Row],[Article code]],MArticle[],2,FALSE)</f>
        <v>Laptop bag red</v>
      </c>
      <c r="L27" s="25" t="str">
        <f>VLOOKUP(TableTemp[[#This Row],[Company ID]],MCompany[],3,FALSE)</f>
        <v>EUR</v>
      </c>
      <c r="M27" s="25">
        <f>ROUND(IF(LOWER(TableTemp[[#This Row],[Currency]])="usd",TableTemp[[#This Row],[Sales Local Currency]],TableTemp[[#This Row],[Sales Local Currency]]*VLOOKUP(MONTH(TableTemp[[#This Row],[Document Date]]),MExchange[],2,FALSE)), 2)</f>
        <v>18423.04</v>
      </c>
      <c r="O27" s="41"/>
      <c r="P27" s="6"/>
      <c r="T27" s="41"/>
      <c r="AB27" s="42"/>
      <c r="AD27" s="53" t="s">
        <v>10</v>
      </c>
      <c r="AE27" s="46">
        <v>2702.36</v>
      </c>
      <c r="AF27" s="48">
        <v>460</v>
      </c>
    </row>
    <row r="28" spans="1:32" x14ac:dyDescent="0.2">
      <c r="A28" s="4" t="s">
        <v>30</v>
      </c>
      <c r="B28">
        <v>88588</v>
      </c>
      <c r="C28" s="23">
        <v>43388</v>
      </c>
      <c r="D28">
        <v>8040</v>
      </c>
      <c r="E28">
        <v>105</v>
      </c>
      <c r="G28">
        <v>130</v>
      </c>
      <c r="H28">
        <v>1300</v>
      </c>
      <c r="I28" s="25" t="str">
        <f>VLOOKUP(TableTemp[[#This Row],[Company ID]],MCompany[],2,FALSE)</f>
        <v>Bere Kleid</v>
      </c>
      <c r="J28" s="25" t="str">
        <f>VLOOKUP(TableTemp[[#This Row],[Customer code]],MCustomer[],2,FALSE)</f>
        <v>Werner Strauss</v>
      </c>
      <c r="K28" s="25" t="str">
        <f>VLOOKUP(TableTemp[[#This Row],[Article code]],MArticle[],2,FALSE)</f>
        <v>Women crop top black</v>
      </c>
      <c r="L28" s="25" t="str">
        <f>VLOOKUP(TableTemp[[#This Row],[Company ID]],MCompany[],3,FALSE)</f>
        <v>EUR</v>
      </c>
      <c r="M28" s="25">
        <f>ROUND(IF(LOWER(TableTemp[[#This Row],[Currency]])="usd",TableTemp[[#This Row],[Sales Local Currency]],TableTemp[[#This Row],[Sales Local Currency]]*VLOOKUP(MONTH(TableTemp[[#This Row],[Document Date]]),MExchange[],2,FALSE)), 2)</f>
        <v>1527.42</v>
      </c>
      <c r="O28" s="41"/>
      <c r="P28" s="6"/>
      <c r="T28" s="41"/>
      <c r="AB28" s="42"/>
      <c r="AD28" s="53" t="s">
        <v>19</v>
      </c>
      <c r="AE28" s="46">
        <v>1832.9</v>
      </c>
      <c r="AF28" s="48">
        <v>260</v>
      </c>
    </row>
    <row r="29" spans="1:32" x14ac:dyDescent="0.2">
      <c r="A29" s="4" t="s">
        <v>30</v>
      </c>
      <c r="B29">
        <v>88588</v>
      </c>
      <c r="C29" s="23">
        <v>43388</v>
      </c>
      <c r="D29">
        <v>8040</v>
      </c>
      <c r="E29">
        <v>103</v>
      </c>
      <c r="G29">
        <v>110</v>
      </c>
      <c r="H29">
        <v>1320</v>
      </c>
      <c r="I29" s="25" t="str">
        <f>VLOOKUP(TableTemp[[#This Row],[Company ID]],MCompany[],2,FALSE)</f>
        <v>Bere Kleid</v>
      </c>
      <c r="J29" s="25" t="str">
        <f>VLOOKUP(TableTemp[[#This Row],[Customer code]],MCustomer[],2,FALSE)</f>
        <v>Werner Strauss</v>
      </c>
      <c r="K29" s="25" t="str">
        <f>VLOOKUP(TableTemp[[#This Row],[Article code]],MArticle[],2,FALSE)</f>
        <v>Women type T simple white</v>
      </c>
      <c r="L29" s="25" t="str">
        <f>VLOOKUP(TableTemp[[#This Row],[Company ID]],MCompany[],3,FALSE)</f>
        <v>EUR</v>
      </c>
      <c r="M29" s="25">
        <f>ROUND(IF(LOWER(TableTemp[[#This Row],[Currency]])="usd",TableTemp[[#This Row],[Sales Local Currency]],TableTemp[[#This Row],[Sales Local Currency]]*VLOOKUP(MONTH(TableTemp[[#This Row],[Document Date]]),MExchange[],2,FALSE)), 2)</f>
        <v>1550.92</v>
      </c>
      <c r="O29" s="41"/>
      <c r="T29" s="41"/>
      <c r="AB29" s="42"/>
      <c r="AD29" s="53" t="s">
        <v>22</v>
      </c>
      <c r="AE29" s="46">
        <v>24039.25</v>
      </c>
      <c r="AF29" s="48">
        <v>330</v>
      </c>
    </row>
    <row r="30" spans="1:32" x14ac:dyDescent="0.2">
      <c r="A30" s="4" t="s">
        <v>30</v>
      </c>
      <c r="B30">
        <v>88544</v>
      </c>
      <c r="C30" s="23">
        <v>43395</v>
      </c>
      <c r="D30">
        <v>8040</v>
      </c>
      <c r="E30">
        <v>107</v>
      </c>
      <c r="G30">
        <v>770</v>
      </c>
      <c r="H30">
        <v>3850</v>
      </c>
      <c r="I30" s="25" t="str">
        <f>VLOOKUP(TableTemp[[#This Row],[Company ID]],MCompany[],2,FALSE)</f>
        <v>Bere Kleid</v>
      </c>
      <c r="J30" s="25" t="str">
        <f>VLOOKUP(TableTemp[[#This Row],[Customer code]],MCustomer[],2,FALSE)</f>
        <v>Werner Strauss</v>
      </c>
      <c r="K30" s="25" t="str">
        <f>VLOOKUP(TableTemp[[#This Row],[Article code]],MArticle[],2,FALSE)</f>
        <v>Women basics</v>
      </c>
      <c r="L30" s="25" t="str">
        <f>VLOOKUP(TableTemp[[#This Row],[Company ID]],MCompany[],3,FALSE)</f>
        <v>EUR</v>
      </c>
      <c r="M30" s="25">
        <f>ROUND(IF(LOWER(TableTemp[[#This Row],[Currency]])="usd",TableTemp[[#This Row],[Sales Local Currency]],TableTemp[[#This Row],[Sales Local Currency]]*VLOOKUP(MONTH(TableTemp[[#This Row],[Document Date]]),MExchange[],2,FALSE)), 2)</f>
        <v>4523.5200000000004</v>
      </c>
      <c r="O30" s="41"/>
      <c r="T30" s="41"/>
      <c r="AB30" s="42"/>
      <c r="AD30" s="53" t="s">
        <v>18</v>
      </c>
      <c r="AE30" s="46">
        <v>2749.36</v>
      </c>
      <c r="AF30" s="48">
        <v>390</v>
      </c>
    </row>
    <row r="31" spans="1:32" x14ac:dyDescent="0.2">
      <c r="A31" s="4" t="s">
        <v>30</v>
      </c>
      <c r="B31">
        <v>88544</v>
      </c>
      <c r="C31" s="23">
        <v>43395</v>
      </c>
      <c r="D31">
        <v>8040</v>
      </c>
      <c r="E31">
        <v>120</v>
      </c>
      <c r="G31">
        <v>300</v>
      </c>
      <c r="H31">
        <v>17400</v>
      </c>
      <c r="I31" s="25" t="str">
        <f>VLOOKUP(TableTemp[[#This Row],[Company ID]],MCompany[],2,FALSE)</f>
        <v>Bere Kleid</v>
      </c>
      <c r="J31" s="25" t="str">
        <f>VLOOKUP(TableTemp[[#This Row],[Customer code]],MCustomer[],2,FALSE)</f>
        <v>Werner Strauss</v>
      </c>
      <c r="K31" s="25" t="str">
        <f>VLOOKUP(TableTemp[[#This Row],[Article code]],MArticle[],2,FALSE)</f>
        <v>Women evening dress Cocktail red</v>
      </c>
      <c r="L31" s="25" t="str">
        <f>VLOOKUP(TableTemp[[#This Row],[Company ID]],MCompany[],3,FALSE)</f>
        <v>EUR</v>
      </c>
      <c r="M31" s="25">
        <f>ROUND(IF(LOWER(TableTemp[[#This Row],[Currency]])="usd",TableTemp[[#This Row],[Sales Local Currency]],TableTemp[[#This Row],[Sales Local Currency]]*VLOOKUP(MONTH(TableTemp[[#This Row],[Document Date]]),MExchange[],2,FALSE)), 2)</f>
        <v>20443.939999999999</v>
      </c>
      <c r="O31" s="41"/>
      <c r="T31" s="41"/>
      <c r="AB31" s="42"/>
      <c r="AD31" s="31" t="s">
        <v>94</v>
      </c>
      <c r="AE31" s="47">
        <v>544079.0199999999</v>
      </c>
      <c r="AF31" s="49">
        <v>16740</v>
      </c>
    </row>
    <row r="32" spans="1:32" x14ac:dyDescent="0.2">
      <c r="A32" s="4" t="s">
        <v>30</v>
      </c>
      <c r="B32">
        <v>88666</v>
      </c>
      <c r="C32" s="23">
        <v>43399</v>
      </c>
      <c r="D32">
        <v>8030</v>
      </c>
      <c r="E32">
        <v>119</v>
      </c>
      <c r="G32">
        <v>330</v>
      </c>
      <c r="H32">
        <v>20460</v>
      </c>
      <c r="I32" s="25" t="str">
        <f>VLOOKUP(TableTemp[[#This Row],[Company ID]],MCompany[],2,FALSE)</f>
        <v>Bere Kleid</v>
      </c>
      <c r="J32" s="25" t="str">
        <f>VLOOKUP(TableTemp[[#This Row],[Customer code]],MCustomer[],2,FALSE)</f>
        <v>Edson</v>
      </c>
      <c r="K32" s="25" t="str">
        <f>VLOOKUP(TableTemp[[#This Row],[Article code]],MArticle[],2,FALSE)</f>
        <v>Women evening dress long black</v>
      </c>
      <c r="L32" s="25" t="str">
        <f>VLOOKUP(TableTemp[[#This Row],[Company ID]],MCompany[],3,FALSE)</f>
        <v>EUR</v>
      </c>
      <c r="M32" s="25">
        <f>ROUND(IF(LOWER(TableTemp[[#This Row],[Currency]])="usd",TableTemp[[#This Row],[Sales Local Currency]],TableTemp[[#This Row],[Sales Local Currency]]*VLOOKUP(MONTH(TableTemp[[#This Row],[Document Date]]),MExchange[],2,FALSE)), 2)</f>
        <v>24039.25</v>
      </c>
    </row>
    <row r="33" spans="1:13" x14ac:dyDescent="0.2">
      <c r="A33" s="4" t="s">
        <v>30</v>
      </c>
      <c r="B33">
        <v>88666</v>
      </c>
      <c r="C33" s="23">
        <v>43399</v>
      </c>
      <c r="D33">
        <v>8030</v>
      </c>
      <c r="E33">
        <v>107</v>
      </c>
      <c r="G33">
        <v>460</v>
      </c>
      <c r="H33">
        <v>2300</v>
      </c>
      <c r="I33" s="25" t="str">
        <f>VLOOKUP(TableTemp[[#This Row],[Company ID]],MCompany[],2,FALSE)</f>
        <v>Bere Kleid</v>
      </c>
      <c r="J33" s="25" t="str">
        <f>VLOOKUP(TableTemp[[#This Row],[Customer code]],MCustomer[],2,FALSE)</f>
        <v>Edson</v>
      </c>
      <c r="K33" s="25" t="str">
        <f>VLOOKUP(TableTemp[[#This Row],[Article code]],MArticle[],2,FALSE)</f>
        <v>Women basics</v>
      </c>
      <c r="L33" s="25" t="str">
        <f>VLOOKUP(TableTemp[[#This Row],[Company ID]],MCompany[],3,FALSE)</f>
        <v>EUR</v>
      </c>
      <c r="M33" s="25">
        <f>ROUND(IF(LOWER(TableTemp[[#This Row],[Currency]])="usd",TableTemp[[#This Row],[Sales Local Currency]],TableTemp[[#This Row],[Sales Local Currency]]*VLOOKUP(MONTH(TableTemp[[#This Row],[Document Date]]),MExchange[],2,FALSE)), 2)</f>
        <v>2702.36</v>
      </c>
    </row>
    <row r="34" spans="1:13" x14ac:dyDescent="0.2">
      <c r="A34" s="4" t="s">
        <v>30</v>
      </c>
      <c r="B34">
        <v>88666</v>
      </c>
      <c r="C34" s="23">
        <v>43399</v>
      </c>
      <c r="D34">
        <v>8030</v>
      </c>
      <c r="E34">
        <v>105</v>
      </c>
      <c r="F34">
        <v>1</v>
      </c>
      <c r="G34">
        <v>470</v>
      </c>
      <c r="H34">
        <v>4700</v>
      </c>
      <c r="I34" s="25" t="str">
        <f>VLOOKUP(TableTemp[[#This Row],[Company ID]],MCompany[],2,FALSE)</f>
        <v>Bere Kleid</v>
      </c>
      <c r="J34" s="25" t="str">
        <f>VLOOKUP(TableTemp[[#This Row],[Customer code]],MCustomer[],2,FALSE)</f>
        <v>Edson</v>
      </c>
      <c r="K34" s="25" t="str">
        <f>VLOOKUP(TableTemp[[#This Row],[Article code]],MArticle[],2,FALSE)</f>
        <v>Women crop top black</v>
      </c>
      <c r="L34" s="25" t="str">
        <f>VLOOKUP(TableTemp[[#This Row],[Company ID]],MCompany[],3,FALSE)</f>
        <v>EUR</v>
      </c>
      <c r="M34" s="25">
        <f>ROUND(IF(LOWER(TableTemp[[#This Row],[Currency]])="usd",TableTemp[[#This Row],[Sales Local Currency]],TableTemp[[#This Row],[Sales Local Currency]]*VLOOKUP(MONTH(TableTemp[[#This Row],[Document Date]]),MExchange[],2,FALSE)), 2)</f>
        <v>5522.21</v>
      </c>
    </row>
    <row r="35" spans="1:13" x14ac:dyDescent="0.2">
      <c r="A35" s="4" t="s">
        <v>30</v>
      </c>
      <c r="B35">
        <v>88666</v>
      </c>
      <c r="C35" s="23">
        <v>43399</v>
      </c>
      <c r="D35">
        <v>8030</v>
      </c>
      <c r="E35">
        <v>115</v>
      </c>
      <c r="G35">
        <v>390</v>
      </c>
      <c r="H35">
        <v>2340</v>
      </c>
      <c r="I35" s="25" t="str">
        <f>VLOOKUP(TableTemp[[#This Row],[Company ID]],MCompany[],2,FALSE)</f>
        <v>Bere Kleid</v>
      </c>
      <c r="J35" s="25" t="str">
        <f>VLOOKUP(TableTemp[[#This Row],[Customer code]],MCustomer[],2,FALSE)</f>
        <v>Edson</v>
      </c>
      <c r="K35" s="25" t="str">
        <f>VLOOKUP(TableTemp[[#This Row],[Article code]],MArticle[],2,FALSE)</f>
        <v>Unisex tank top black</v>
      </c>
      <c r="L35" s="25" t="str">
        <f>VLOOKUP(TableTemp[[#This Row],[Company ID]],MCompany[],3,FALSE)</f>
        <v>EUR</v>
      </c>
      <c r="M35" s="25">
        <f>ROUND(IF(LOWER(TableTemp[[#This Row],[Currency]])="usd",TableTemp[[#This Row],[Sales Local Currency]],TableTemp[[#This Row],[Sales Local Currency]]*VLOOKUP(MONTH(TableTemp[[#This Row],[Document Date]]),MExchange[],2,FALSE)), 2)</f>
        <v>2749.36</v>
      </c>
    </row>
    <row r="36" spans="1:13" x14ac:dyDescent="0.2">
      <c r="A36" s="4" t="s">
        <v>30</v>
      </c>
      <c r="B36">
        <v>88666</v>
      </c>
      <c r="C36" s="23">
        <v>43399</v>
      </c>
      <c r="D36">
        <v>8030</v>
      </c>
      <c r="E36">
        <v>116</v>
      </c>
      <c r="G36">
        <v>260</v>
      </c>
      <c r="H36">
        <v>1560</v>
      </c>
      <c r="I36" s="25" t="str">
        <f>VLOOKUP(TableTemp[[#This Row],[Company ID]],MCompany[],2,FALSE)</f>
        <v>Bere Kleid</v>
      </c>
      <c r="J36" s="25" t="str">
        <f>VLOOKUP(TableTemp[[#This Row],[Customer code]],MCustomer[],2,FALSE)</f>
        <v>Edson</v>
      </c>
      <c r="K36" s="25" t="str">
        <f>VLOOKUP(TableTemp[[#This Row],[Article code]],MArticle[],2,FALSE)</f>
        <v>Unisex tank top white</v>
      </c>
      <c r="L36" s="25" t="str">
        <f>VLOOKUP(TableTemp[[#This Row],[Company ID]],MCompany[],3,FALSE)</f>
        <v>EUR</v>
      </c>
      <c r="M36" s="25">
        <f>ROUND(IF(LOWER(TableTemp[[#This Row],[Currency]])="usd",TableTemp[[#This Row],[Sales Local Currency]],TableTemp[[#This Row],[Sales Local Currency]]*VLOOKUP(MONTH(TableTemp[[#This Row],[Document Date]]),MExchange[],2,FALSE)), 2)</f>
        <v>1832.9</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Map"/>
  <dimension ref="A1:J68"/>
  <sheetViews>
    <sheetView showGridLines="0" workbookViewId="0">
      <selection activeCell="E22" sqref="E22"/>
    </sheetView>
  </sheetViews>
  <sheetFormatPr defaultRowHeight="12.75" x14ac:dyDescent="0.2"/>
  <cols>
    <col min="1" max="1" width="8.7109375" customWidth="1"/>
    <col min="2" max="2" width="21.7109375" customWidth="1"/>
    <col min="3" max="3" width="19.28515625" customWidth="1"/>
    <col min="4" max="4" width="15.140625" customWidth="1"/>
    <col min="6" max="6" width="29.85546875" customWidth="1"/>
    <col min="7" max="7" width="13.7109375" customWidth="1"/>
    <col min="14" max="14" width="22.5703125" customWidth="1"/>
  </cols>
  <sheetData>
    <row r="1" spans="1:10" x14ac:dyDescent="0.2">
      <c r="A1" s="59"/>
      <c r="B1" s="59"/>
      <c r="C1" s="59"/>
      <c r="D1" s="59"/>
      <c r="E1" s="59"/>
      <c r="F1" s="59"/>
      <c r="G1" s="59"/>
      <c r="H1" s="59"/>
      <c r="I1" s="59"/>
      <c r="J1" s="59"/>
    </row>
    <row r="2" spans="1:10" ht="15" x14ac:dyDescent="0.25">
      <c r="A2" s="60"/>
      <c r="B2" s="60" t="s">
        <v>24</v>
      </c>
      <c r="C2" s="60"/>
      <c r="D2" s="60"/>
      <c r="E2" s="60"/>
      <c r="F2" s="60"/>
      <c r="G2" s="60"/>
      <c r="H2" s="60"/>
      <c r="I2" s="60"/>
      <c r="J2" s="60"/>
    </row>
    <row r="3" spans="1:10" ht="15" x14ac:dyDescent="0.25">
      <c r="A3" s="60"/>
      <c r="B3" s="60" t="s">
        <v>25</v>
      </c>
      <c r="C3" s="60"/>
      <c r="D3" s="60"/>
      <c r="E3" s="60"/>
      <c r="F3" s="60"/>
      <c r="G3" s="60"/>
      <c r="H3" s="60"/>
      <c r="I3" s="60"/>
      <c r="J3" s="60"/>
    </row>
    <row r="4" spans="1:10" x14ac:dyDescent="0.2">
      <c r="A4" s="59"/>
      <c r="B4" s="59"/>
      <c r="C4" s="59"/>
      <c r="D4" s="59"/>
      <c r="E4" s="59"/>
      <c r="F4" s="59"/>
      <c r="G4" s="59"/>
      <c r="H4" s="59"/>
      <c r="I4" s="59"/>
      <c r="J4" s="59"/>
    </row>
    <row r="6" spans="1:10" x14ac:dyDescent="0.2">
      <c r="A6" s="2" t="s">
        <v>27</v>
      </c>
      <c r="B6" s="2"/>
      <c r="C6" s="2"/>
      <c r="D6" s="2"/>
      <c r="E6" s="2"/>
      <c r="F6" s="2"/>
      <c r="G6" s="2"/>
      <c r="H6" s="2"/>
      <c r="I6" s="2"/>
      <c r="J6" s="2"/>
    </row>
    <row r="7" spans="1:10" x14ac:dyDescent="0.2">
      <c r="A7" s="6"/>
      <c r="B7" s="6"/>
      <c r="C7" s="6"/>
      <c r="D7" s="6"/>
      <c r="E7" s="6"/>
      <c r="F7" s="6"/>
      <c r="G7" s="6"/>
      <c r="H7" s="6"/>
      <c r="I7" s="6"/>
      <c r="J7" s="6"/>
    </row>
    <row r="8" spans="1:10" ht="26.25" customHeight="1" x14ac:dyDescent="0.2">
      <c r="B8" s="62" t="s">
        <v>50</v>
      </c>
      <c r="C8" s="61" t="s">
        <v>35</v>
      </c>
      <c r="D8" s="61" t="s">
        <v>3</v>
      </c>
      <c r="E8" s="61" t="s">
        <v>53</v>
      </c>
      <c r="G8" s="61" t="s">
        <v>58</v>
      </c>
    </row>
    <row r="9" spans="1:10" x14ac:dyDescent="0.2">
      <c r="B9" t="s">
        <v>28</v>
      </c>
      <c r="C9" t="s">
        <v>32</v>
      </c>
      <c r="D9" t="s">
        <v>1</v>
      </c>
      <c r="E9" t="s">
        <v>54</v>
      </c>
      <c r="G9" t="s">
        <v>54</v>
      </c>
    </row>
    <row r="10" spans="1:10" x14ac:dyDescent="0.2">
      <c r="B10" t="s">
        <v>29</v>
      </c>
      <c r="C10" t="s">
        <v>46</v>
      </c>
      <c r="D10" t="s">
        <v>1</v>
      </c>
      <c r="E10" t="s">
        <v>54</v>
      </c>
      <c r="G10" t="s">
        <v>55</v>
      </c>
    </row>
    <row r="11" spans="1:10" x14ac:dyDescent="0.2">
      <c r="B11" s="7" t="s">
        <v>30</v>
      </c>
      <c r="C11" s="7" t="s">
        <v>34</v>
      </c>
      <c r="D11" s="7" t="s">
        <v>38</v>
      </c>
      <c r="E11" t="s">
        <v>55</v>
      </c>
    </row>
    <row r="12" spans="1:10" x14ac:dyDescent="0.2">
      <c r="B12" s="7" t="s">
        <v>31</v>
      </c>
      <c r="C12" s="7" t="s">
        <v>33</v>
      </c>
      <c r="D12" s="7" t="s">
        <v>38</v>
      </c>
      <c r="E12" t="s">
        <v>55</v>
      </c>
      <c r="I12" s="13"/>
      <c r="J12" s="13"/>
    </row>
    <row r="13" spans="1:10" x14ac:dyDescent="0.2">
      <c r="B13" s="7"/>
      <c r="C13" s="7"/>
      <c r="D13" s="7"/>
    </row>
    <row r="14" spans="1:10" x14ac:dyDescent="0.2">
      <c r="A14" s="2" t="s">
        <v>36</v>
      </c>
      <c r="B14" s="2"/>
      <c r="C14" s="2"/>
      <c r="D14" s="2"/>
      <c r="E14" s="2"/>
      <c r="F14" s="2"/>
      <c r="G14" s="2"/>
      <c r="H14" s="2"/>
      <c r="I14" s="2"/>
      <c r="J14" s="2"/>
    </row>
    <row r="15" spans="1:10" x14ac:dyDescent="0.2">
      <c r="A15" s="6"/>
      <c r="B15" s="6"/>
      <c r="C15" s="6"/>
      <c r="D15" s="6"/>
      <c r="E15" s="6"/>
      <c r="F15" s="6"/>
      <c r="G15" s="6"/>
      <c r="H15" s="6"/>
      <c r="I15" s="6"/>
      <c r="J15" s="6"/>
    </row>
    <row r="16" spans="1:10" ht="15" x14ac:dyDescent="0.2">
      <c r="B16" s="62" t="s">
        <v>49</v>
      </c>
      <c r="C16" s="61" t="s">
        <v>44</v>
      </c>
    </row>
    <row r="17" spans="1:10" x14ac:dyDescent="0.2">
      <c r="B17">
        <v>8010</v>
      </c>
      <c r="C17" t="s">
        <v>45</v>
      </c>
    </row>
    <row r="18" spans="1:10" x14ac:dyDescent="0.2">
      <c r="B18">
        <v>8020</v>
      </c>
      <c r="C18" t="s">
        <v>47</v>
      </c>
    </row>
    <row r="19" spans="1:10" x14ac:dyDescent="0.2">
      <c r="B19">
        <v>8030</v>
      </c>
      <c r="C19" t="s">
        <v>48</v>
      </c>
    </row>
    <row r="20" spans="1:10" x14ac:dyDescent="0.2">
      <c r="B20">
        <v>8040</v>
      </c>
      <c r="C20" t="s">
        <v>59</v>
      </c>
    </row>
    <row r="21" spans="1:10" x14ac:dyDescent="0.2">
      <c r="B21">
        <v>8050</v>
      </c>
      <c r="C21" t="s">
        <v>60</v>
      </c>
    </row>
    <row r="22" spans="1:10" x14ac:dyDescent="0.2">
      <c r="B22">
        <v>8060</v>
      </c>
      <c r="C22" t="s">
        <v>61</v>
      </c>
    </row>
    <row r="24" spans="1:10" x14ac:dyDescent="0.2">
      <c r="A24" s="2" t="s">
        <v>26</v>
      </c>
      <c r="B24" s="2"/>
      <c r="C24" s="2"/>
      <c r="D24" s="2"/>
      <c r="E24" s="2"/>
      <c r="F24" s="2"/>
      <c r="G24" s="2"/>
      <c r="H24" s="2"/>
      <c r="I24" s="2"/>
      <c r="J24" s="2"/>
    </row>
    <row r="25" spans="1:10" x14ac:dyDescent="0.2">
      <c r="A25" s="6"/>
      <c r="B25" s="6"/>
      <c r="C25" s="6"/>
      <c r="D25" s="6"/>
      <c r="E25" s="6"/>
      <c r="F25" s="6"/>
      <c r="G25" s="6"/>
      <c r="H25" s="6"/>
      <c r="I25" s="6"/>
      <c r="J25" s="6"/>
    </row>
    <row r="26" spans="1:10" ht="15" x14ac:dyDescent="0.2">
      <c r="B26" s="62" t="s">
        <v>52</v>
      </c>
      <c r="C26" s="61" t="s">
        <v>0</v>
      </c>
    </row>
    <row r="27" spans="1:10" x14ac:dyDescent="0.2">
      <c r="B27" s="1">
        <v>101</v>
      </c>
      <c r="C27" t="s">
        <v>6</v>
      </c>
      <c r="F27" s="1"/>
    </row>
    <row r="28" spans="1:10" x14ac:dyDescent="0.2">
      <c r="B28" s="1">
        <v>102</v>
      </c>
      <c r="C28" t="s">
        <v>7</v>
      </c>
      <c r="F28" s="1"/>
    </row>
    <row r="29" spans="1:10" x14ac:dyDescent="0.2">
      <c r="B29" s="1">
        <v>103</v>
      </c>
      <c r="C29" t="s">
        <v>8</v>
      </c>
      <c r="F29" s="1"/>
    </row>
    <row r="30" spans="1:10" x14ac:dyDescent="0.2">
      <c r="B30" s="1">
        <v>104</v>
      </c>
      <c r="C30" t="s">
        <v>9</v>
      </c>
      <c r="F30" s="1"/>
    </row>
    <row r="31" spans="1:10" x14ac:dyDescent="0.2">
      <c r="B31" s="1">
        <v>105</v>
      </c>
      <c r="C31" t="s">
        <v>4</v>
      </c>
      <c r="F31" s="1"/>
    </row>
    <row r="32" spans="1:10" x14ac:dyDescent="0.2">
      <c r="B32" s="1">
        <v>106</v>
      </c>
      <c r="C32" t="s">
        <v>5</v>
      </c>
      <c r="F32" s="1"/>
    </row>
    <row r="33" spans="1:6" x14ac:dyDescent="0.2">
      <c r="B33" s="1">
        <v>107</v>
      </c>
      <c r="C33" t="s">
        <v>10</v>
      </c>
      <c r="F33" s="1"/>
    </row>
    <row r="34" spans="1:6" x14ac:dyDescent="0.2">
      <c r="B34" s="1">
        <v>108</v>
      </c>
      <c r="C34" t="s">
        <v>11</v>
      </c>
      <c r="F34" s="1"/>
    </row>
    <row r="35" spans="1:6" x14ac:dyDescent="0.2">
      <c r="B35" s="1">
        <v>109</v>
      </c>
      <c r="C35" t="s">
        <v>12</v>
      </c>
      <c r="F35" s="1"/>
    </row>
    <row r="36" spans="1:6" x14ac:dyDescent="0.2">
      <c r="B36" s="1">
        <v>110</v>
      </c>
      <c r="C36" t="s">
        <v>13</v>
      </c>
      <c r="F36" s="1"/>
    </row>
    <row r="37" spans="1:6" x14ac:dyDescent="0.2">
      <c r="B37" s="1">
        <v>111</v>
      </c>
      <c r="C37" t="s">
        <v>14</v>
      </c>
      <c r="F37" s="1"/>
    </row>
    <row r="38" spans="1:6" x14ac:dyDescent="0.2">
      <c r="B38" s="1">
        <v>112</v>
      </c>
      <c r="C38" t="s">
        <v>15</v>
      </c>
      <c r="F38" s="1"/>
    </row>
    <row r="39" spans="1:6" x14ac:dyDescent="0.2">
      <c r="B39" s="1">
        <v>113</v>
      </c>
      <c r="C39" t="s">
        <v>16</v>
      </c>
      <c r="F39" s="1"/>
    </row>
    <row r="40" spans="1:6" x14ac:dyDescent="0.2">
      <c r="B40" s="1">
        <v>114</v>
      </c>
      <c r="C40" t="s">
        <v>17</v>
      </c>
      <c r="F40" s="1"/>
    </row>
    <row r="41" spans="1:6" x14ac:dyDescent="0.2">
      <c r="B41" s="1">
        <v>115</v>
      </c>
      <c r="C41" t="s">
        <v>18</v>
      </c>
      <c r="F41" s="1"/>
    </row>
    <row r="42" spans="1:6" x14ac:dyDescent="0.2">
      <c r="B42" s="1">
        <v>116</v>
      </c>
      <c r="C42" t="s">
        <v>19</v>
      </c>
      <c r="F42" s="1"/>
    </row>
    <row r="43" spans="1:6" x14ac:dyDescent="0.2">
      <c r="B43" s="1">
        <v>117</v>
      </c>
      <c r="C43" t="s">
        <v>20</v>
      </c>
      <c r="F43" s="1"/>
    </row>
    <row r="44" spans="1:6" x14ac:dyDescent="0.2">
      <c r="B44" s="1">
        <v>118</v>
      </c>
      <c r="C44" t="s">
        <v>21</v>
      </c>
      <c r="F44" s="1"/>
    </row>
    <row r="45" spans="1:6" x14ac:dyDescent="0.2">
      <c r="B45" s="1">
        <v>119</v>
      </c>
      <c r="C45" t="s">
        <v>22</v>
      </c>
      <c r="F45" s="1"/>
    </row>
    <row r="46" spans="1:6" x14ac:dyDescent="0.2">
      <c r="B46" s="1">
        <v>120</v>
      </c>
      <c r="C46" t="s">
        <v>23</v>
      </c>
      <c r="F46" s="1"/>
    </row>
    <row r="47" spans="1:6" x14ac:dyDescent="0.2">
      <c r="A47" s="1"/>
    </row>
    <row r="48" spans="1:6" x14ac:dyDescent="0.2">
      <c r="A48" s="1"/>
    </row>
    <row r="50" spans="1:10" x14ac:dyDescent="0.2">
      <c r="A50" s="2" t="s">
        <v>81</v>
      </c>
      <c r="B50" s="2"/>
      <c r="C50" s="2"/>
      <c r="D50" s="2"/>
      <c r="E50" s="2"/>
      <c r="F50" s="2"/>
      <c r="G50" s="2"/>
      <c r="H50" s="2"/>
      <c r="I50" s="2"/>
      <c r="J50" s="2"/>
    </row>
    <row r="51" spans="1:10" x14ac:dyDescent="0.2">
      <c r="A51" s="6"/>
      <c r="B51" s="6"/>
      <c r="C51" s="6"/>
      <c r="D51" s="6"/>
      <c r="E51" s="6"/>
      <c r="F51" s="6"/>
      <c r="G51" s="6"/>
      <c r="H51" s="6"/>
      <c r="I51" s="6"/>
      <c r="J51" s="6"/>
    </row>
    <row r="52" spans="1:10" ht="15" x14ac:dyDescent="0.2">
      <c r="B52" s="62" t="s">
        <v>37</v>
      </c>
      <c r="C52" s="61" t="s">
        <v>51</v>
      </c>
    </row>
    <row r="53" spans="1:10" x14ac:dyDescent="0.2">
      <c r="B53">
        <v>1</v>
      </c>
      <c r="C53">
        <v>1.0629200000000001</v>
      </c>
    </row>
    <row r="54" spans="1:10" x14ac:dyDescent="0.2">
      <c r="B54">
        <v>2</v>
      </c>
      <c r="C54">
        <v>1.064889</v>
      </c>
    </row>
    <row r="55" spans="1:10" x14ac:dyDescent="0.2">
      <c r="B55">
        <v>3</v>
      </c>
      <c r="C55">
        <v>1.069491</v>
      </c>
    </row>
    <row r="56" spans="1:10" x14ac:dyDescent="0.2">
      <c r="B56">
        <v>4</v>
      </c>
      <c r="C56">
        <v>1.0708819999999999</v>
      </c>
    </row>
    <row r="57" spans="1:10" x14ac:dyDescent="0.2">
      <c r="B57">
        <v>5</v>
      </c>
      <c r="C57">
        <v>1.106112</v>
      </c>
    </row>
    <row r="58" spans="1:10" x14ac:dyDescent="0.2">
      <c r="B58">
        <v>6</v>
      </c>
      <c r="C58">
        <v>1.1229709999999999</v>
      </c>
    </row>
    <row r="59" spans="1:10" x14ac:dyDescent="0.2">
      <c r="B59">
        <v>7</v>
      </c>
      <c r="C59">
        <v>1.1528700000000001</v>
      </c>
    </row>
    <row r="60" spans="1:10" x14ac:dyDescent="0.2">
      <c r="B60">
        <v>8</v>
      </c>
      <c r="C60">
        <v>1.181608</v>
      </c>
    </row>
    <row r="61" spans="1:10" x14ac:dyDescent="0.2">
      <c r="B61">
        <v>9</v>
      </c>
      <c r="C61">
        <v>1.191249</v>
      </c>
    </row>
    <row r="62" spans="1:10" x14ac:dyDescent="0.2">
      <c r="B62">
        <v>10</v>
      </c>
      <c r="C62">
        <v>1.174939</v>
      </c>
    </row>
    <row r="63" spans="1:10" x14ac:dyDescent="0.2">
      <c r="B63">
        <v>11</v>
      </c>
      <c r="C63">
        <v>1.1745300000000001</v>
      </c>
    </row>
    <row r="64" spans="1:10" x14ac:dyDescent="0.2">
      <c r="B64">
        <v>12</v>
      </c>
      <c r="C64">
        <v>1.19095</v>
      </c>
    </row>
    <row r="68" spans="1:10" x14ac:dyDescent="0.2">
      <c r="A68" s="2"/>
      <c r="B68" s="2"/>
      <c r="C68" s="2"/>
      <c r="D68" s="2"/>
      <c r="E68" s="2"/>
      <c r="F68" s="2"/>
      <c r="G68" s="2"/>
      <c r="H68" s="2"/>
      <c r="I68" s="2"/>
      <c r="J68" s="2"/>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NewDat"/>
  <dimension ref="B2:I45"/>
  <sheetViews>
    <sheetView workbookViewId="0">
      <selection sqref="A1:XFD1048576"/>
    </sheetView>
  </sheetViews>
  <sheetFormatPr defaultRowHeight="12.75" x14ac:dyDescent="0.2"/>
  <sheetData>
    <row r="2" spans="2:9" x14ac:dyDescent="0.2">
      <c r="B2" t="s">
        <v>39</v>
      </c>
      <c r="C2" t="s">
        <v>30</v>
      </c>
    </row>
    <row r="4" spans="2:9" x14ac:dyDescent="0.2">
      <c r="B4" t="s">
        <v>2</v>
      </c>
      <c r="C4" t="s">
        <v>40</v>
      </c>
      <c r="D4" t="s">
        <v>88</v>
      </c>
      <c r="E4" t="s">
        <v>49</v>
      </c>
      <c r="F4" t="s">
        <v>52</v>
      </c>
      <c r="G4" t="s">
        <v>43</v>
      </c>
      <c r="H4" t="s">
        <v>41</v>
      </c>
      <c r="I4" t="s">
        <v>42</v>
      </c>
    </row>
    <row r="5" spans="2:9" x14ac:dyDescent="0.2">
      <c r="B5">
        <v>84030</v>
      </c>
      <c r="C5" s="23">
        <v>43380</v>
      </c>
      <c r="D5" t="s">
        <v>108</v>
      </c>
      <c r="E5">
        <v>8050</v>
      </c>
      <c r="F5">
        <v>120</v>
      </c>
      <c r="G5" t="s">
        <v>89</v>
      </c>
      <c r="H5">
        <v>120</v>
      </c>
      <c r="I5">
        <v>6960</v>
      </c>
    </row>
    <row r="6" spans="2:9" x14ac:dyDescent="0.2">
      <c r="B6">
        <v>84030</v>
      </c>
      <c r="C6" s="23">
        <v>43380</v>
      </c>
      <c r="D6" t="s">
        <v>109</v>
      </c>
      <c r="E6">
        <v>8050</v>
      </c>
      <c r="F6">
        <v>104</v>
      </c>
      <c r="G6">
        <v>1</v>
      </c>
      <c r="H6">
        <v>430</v>
      </c>
      <c r="I6">
        <v>5160</v>
      </c>
    </row>
    <row r="7" spans="2:9" x14ac:dyDescent="0.2">
      <c r="B7">
        <v>84030</v>
      </c>
      <c r="C7" s="23">
        <v>43380</v>
      </c>
      <c r="D7" t="s">
        <v>110</v>
      </c>
      <c r="E7">
        <v>8050</v>
      </c>
      <c r="F7">
        <v>105</v>
      </c>
      <c r="G7" t="s">
        <v>89</v>
      </c>
      <c r="H7">
        <v>120</v>
      </c>
      <c r="I7">
        <v>1200</v>
      </c>
    </row>
    <row r="8" spans="2:9" x14ac:dyDescent="0.2">
      <c r="B8">
        <v>84030</v>
      </c>
      <c r="C8" s="23">
        <v>43380</v>
      </c>
      <c r="D8" t="s">
        <v>111</v>
      </c>
      <c r="E8">
        <v>8050</v>
      </c>
      <c r="F8">
        <v>107</v>
      </c>
      <c r="G8">
        <v>1</v>
      </c>
      <c r="H8">
        <v>690</v>
      </c>
      <c r="I8">
        <v>3450</v>
      </c>
    </row>
    <row r="9" spans="2:9" x14ac:dyDescent="0.2">
      <c r="B9">
        <v>84031</v>
      </c>
      <c r="C9" s="23">
        <v>43381</v>
      </c>
      <c r="D9" t="s">
        <v>108</v>
      </c>
      <c r="E9">
        <v>8040</v>
      </c>
      <c r="F9">
        <v>104</v>
      </c>
      <c r="G9" t="s">
        <v>89</v>
      </c>
      <c r="H9">
        <v>870</v>
      </c>
      <c r="I9">
        <v>10440</v>
      </c>
    </row>
    <row r="10" spans="2:9" x14ac:dyDescent="0.2">
      <c r="B10">
        <v>84031</v>
      </c>
      <c r="C10" s="23">
        <v>43381</v>
      </c>
      <c r="D10" t="s">
        <v>112</v>
      </c>
      <c r="E10">
        <v>8040</v>
      </c>
      <c r="F10">
        <v>107</v>
      </c>
      <c r="G10" t="s">
        <v>89</v>
      </c>
      <c r="H10">
        <v>760</v>
      </c>
      <c r="I10">
        <v>3800</v>
      </c>
    </row>
    <row r="11" spans="2:9" x14ac:dyDescent="0.2">
      <c r="B11">
        <v>84031</v>
      </c>
      <c r="C11" s="23">
        <v>43381</v>
      </c>
      <c r="D11" t="s">
        <v>113</v>
      </c>
      <c r="E11">
        <v>8040</v>
      </c>
      <c r="F11">
        <v>110</v>
      </c>
      <c r="G11">
        <v>2</v>
      </c>
      <c r="H11">
        <v>500</v>
      </c>
      <c r="I11">
        <v>30000</v>
      </c>
    </row>
    <row r="12" spans="2:9" x14ac:dyDescent="0.2">
      <c r="B12">
        <v>88112</v>
      </c>
      <c r="C12" s="23">
        <v>43384</v>
      </c>
      <c r="D12" t="s">
        <v>109</v>
      </c>
      <c r="E12">
        <v>8040</v>
      </c>
      <c r="F12">
        <v>110</v>
      </c>
      <c r="H12">
        <v>480</v>
      </c>
      <c r="I12">
        <v>28800</v>
      </c>
    </row>
    <row r="13" spans="2:9" x14ac:dyDescent="0.2">
      <c r="B13">
        <v>88112</v>
      </c>
      <c r="C13" s="23">
        <v>43384</v>
      </c>
      <c r="D13" t="s">
        <v>114</v>
      </c>
      <c r="E13">
        <v>8040</v>
      </c>
      <c r="F13">
        <v>119</v>
      </c>
      <c r="G13" t="s">
        <v>89</v>
      </c>
      <c r="H13">
        <v>630</v>
      </c>
      <c r="I13">
        <v>39060</v>
      </c>
    </row>
    <row r="14" spans="2:9" x14ac:dyDescent="0.2">
      <c r="B14">
        <v>88112</v>
      </c>
      <c r="C14" s="23">
        <v>43384</v>
      </c>
      <c r="D14" t="s">
        <v>115</v>
      </c>
      <c r="E14">
        <v>8040</v>
      </c>
      <c r="F14">
        <v>120</v>
      </c>
      <c r="H14">
        <v>150</v>
      </c>
      <c r="I14">
        <v>8700</v>
      </c>
    </row>
    <row r="15" spans="2:9" x14ac:dyDescent="0.2">
      <c r="B15">
        <v>88112</v>
      </c>
      <c r="C15" s="23">
        <v>43384</v>
      </c>
      <c r="D15" t="s">
        <v>111</v>
      </c>
      <c r="E15">
        <v>8040</v>
      </c>
      <c r="F15">
        <v>116</v>
      </c>
      <c r="G15">
        <v>4</v>
      </c>
      <c r="H15">
        <v>760</v>
      </c>
      <c r="I15">
        <v>4560</v>
      </c>
    </row>
    <row r="16" spans="2:9" x14ac:dyDescent="0.2">
      <c r="B16">
        <v>88112</v>
      </c>
      <c r="C16" s="23">
        <v>43384</v>
      </c>
      <c r="D16" t="s">
        <v>109</v>
      </c>
      <c r="E16">
        <v>8040</v>
      </c>
      <c r="F16">
        <v>111</v>
      </c>
      <c r="H16">
        <v>590</v>
      </c>
      <c r="I16">
        <v>11800</v>
      </c>
    </row>
    <row r="17" spans="2:9" x14ac:dyDescent="0.2">
      <c r="B17">
        <v>88112</v>
      </c>
      <c r="C17" s="23">
        <v>43384</v>
      </c>
      <c r="D17" t="s">
        <v>112</v>
      </c>
      <c r="E17">
        <v>8040</v>
      </c>
      <c r="F17">
        <v>110</v>
      </c>
      <c r="H17">
        <v>530</v>
      </c>
      <c r="I17">
        <v>31800</v>
      </c>
    </row>
    <row r="18" spans="2:9" x14ac:dyDescent="0.2">
      <c r="B18">
        <v>88112</v>
      </c>
      <c r="C18" s="23">
        <v>43384</v>
      </c>
      <c r="D18" t="s">
        <v>108</v>
      </c>
      <c r="E18">
        <v>8040</v>
      </c>
      <c r="F18">
        <v>109</v>
      </c>
      <c r="H18">
        <v>260</v>
      </c>
      <c r="I18">
        <v>7280</v>
      </c>
    </row>
    <row r="19" spans="2:9" x14ac:dyDescent="0.2">
      <c r="B19">
        <v>85442</v>
      </c>
      <c r="C19" s="23">
        <v>43388</v>
      </c>
      <c r="D19" t="s">
        <v>116</v>
      </c>
      <c r="E19">
        <v>8050</v>
      </c>
      <c r="F19">
        <v>107</v>
      </c>
      <c r="H19">
        <v>270</v>
      </c>
      <c r="I19">
        <v>1350</v>
      </c>
    </row>
    <row r="20" spans="2:9" x14ac:dyDescent="0.2">
      <c r="B20">
        <v>85442</v>
      </c>
      <c r="C20" s="23">
        <v>43388</v>
      </c>
      <c r="D20" t="s">
        <v>112</v>
      </c>
      <c r="E20">
        <v>8050</v>
      </c>
      <c r="F20">
        <v>103</v>
      </c>
      <c r="H20">
        <v>630</v>
      </c>
      <c r="I20">
        <v>7560</v>
      </c>
    </row>
    <row r="21" spans="2:9" x14ac:dyDescent="0.2">
      <c r="B21">
        <v>85442</v>
      </c>
      <c r="C21" s="23">
        <v>43388</v>
      </c>
      <c r="D21" t="s">
        <v>111</v>
      </c>
      <c r="E21">
        <v>8050</v>
      </c>
      <c r="F21">
        <v>104</v>
      </c>
      <c r="H21">
        <v>440</v>
      </c>
      <c r="I21">
        <v>5280</v>
      </c>
    </row>
    <row r="22" spans="2:9" x14ac:dyDescent="0.2">
      <c r="B22">
        <v>85442</v>
      </c>
      <c r="C22" s="23">
        <v>43388</v>
      </c>
      <c r="D22" t="s">
        <v>117</v>
      </c>
      <c r="E22">
        <v>8050</v>
      </c>
      <c r="F22">
        <v>120</v>
      </c>
      <c r="H22">
        <v>500</v>
      </c>
      <c r="I22">
        <v>29000</v>
      </c>
    </row>
    <row r="23" spans="2:9" x14ac:dyDescent="0.2">
      <c r="B23">
        <v>85442</v>
      </c>
      <c r="C23" s="23">
        <v>43388</v>
      </c>
      <c r="D23" t="s">
        <v>114</v>
      </c>
      <c r="E23">
        <v>8050</v>
      </c>
      <c r="F23">
        <v>119</v>
      </c>
      <c r="G23">
        <v>1</v>
      </c>
      <c r="H23">
        <v>360</v>
      </c>
      <c r="I23">
        <v>22320</v>
      </c>
    </row>
    <row r="24" spans="2:9" x14ac:dyDescent="0.2">
      <c r="B24">
        <v>85442</v>
      </c>
      <c r="C24" s="23">
        <v>43388</v>
      </c>
      <c r="D24" t="s">
        <v>117</v>
      </c>
      <c r="E24">
        <v>8050</v>
      </c>
      <c r="F24">
        <v>115</v>
      </c>
      <c r="H24">
        <v>810</v>
      </c>
      <c r="I24">
        <v>4860</v>
      </c>
    </row>
    <row r="25" spans="2:9" x14ac:dyDescent="0.2">
      <c r="B25">
        <v>85442</v>
      </c>
      <c r="C25" s="23">
        <v>43388</v>
      </c>
      <c r="D25" t="s">
        <v>109</v>
      </c>
      <c r="E25">
        <v>8050</v>
      </c>
      <c r="F25">
        <v>108</v>
      </c>
      <c r="H25">
        <v>800</v>
      </c>
      <c r="I25">
        <v>22400</v>
      </c>
    </row>
    <row r="26" spans="2:9" x14ac:dyDescent="0.2">
      <c r="B26">
        <v>88588</v>
      </c>
      <c r="C26" s="23">
        <v>43388</v>
      </c>
      <c r="D26" t="s">
        <v>116</v>
      </c>
      <c r="E26">
        <v>8040</v>
      </c>
      <c r="F26">
        <v>120</v>
      </c>
      <c r="H26">
        <v>470</v>
      </c>
      <c r="I26">
        <v>27260</v>
      </c>
    </row>
    <row r="27" spans="2:9" x14ac:dyDescent="0.2">
      <c r="B27">
        <v>88588</v>
      </c>
      <c r="C27" s="23">
        <v>43388</v>
      </c>
      <c r="D27" t="s">
        <v>109</v>
      </c>
      <c r="E27">
        <v>8040</v>
      </c>
      <c r="F27">
        <v>119</v>
      </c>
      <c r="H27">
        <v>860</v>
      </c>
      <c r="I27">
        <v>53320</v>
      </c>
    </row>
    <row r="28" spans="2:9" x14ac:dyDescent="0.2">
      <c r="B28">
        <v>88588</v>
      </c>
      <c r="C28" s="23">
        <v>43388</v>
      </c>
      <c r="D28" t="s">
        <v>115</v>
      </c>
      <c r="E28">
        <v>8040</v>
      </c>
      <c r="F28">
        <v>110</v>
      </c>
      <c r="H28">
        <v>180</v>
      </c>
      <c r="I28">
        <v>10800</v>
      </c>
    </row>
    <row r="29" spans="2:9" x14ac:dyDescent="0.2">
      <c r="B29">
        <v>88588</v>
      </c>
      <c r="C29" s="23">
        <v>43388</v>
      </c>
      <c r="D29" t="s">
        <v>117</v>
      </c>
      <c r="E29">
        <v>8040</v>
      </c>
      <c r="F29">
        <v>111</v>
      </c>
      <c r="H29">
        <v>750</v>
      </c>
      <c r="I29">
        <v>15000</v>
      </c>
    </row>
    <row r="30" spans="2:9" x14ac:dyDescent="0.2">
      <c r="B30">
        <v>88588</v>
      </c>
      <c r="C30" s="23">
        <v>43388</v>
      </c>
      <c r="D30" t="s">
        <v>108</v>
      </c>
      <c r="E30">
        <v>8040</v>
      </c>
      <c r="F30">
        <v>109</v>
      </c>
      <c r="H30">
        <v>560</v>
      </c>
      <c r="I30">
        <v>15680</v>
      </c>
    </row>
    <row r="31" spans="2:9" x14ac:dyDescent="0.2">
      <c r="B31">
        <v>88588</v>
      </c>
      <c r="C31" s="23">
        <v>43388</v>
      </c>
      <c r="D31" t="s">
        <v>118</v>
      </c>
      <c r="E31">
        <v>8040</v>
      </c>
      <c r="F31">
        <v>105</v>
      </c>
      <c r="H31">
        <v>130</v>
      </c>
      <c r="I31">
        <v>1300</v>
      </c>
    </row>
    <row r="32" spans="2:9" x14ac:dyDescent="0.2">
      <c r="B32">
        <v>88588</v>
      </c>
      <c r="C32" s="23">
        <v>43388</v>
      </c>
      <c r="D32" t="s">
        <v>109</v>
      </c>
      <c r="E32">
        <v>8040</v>
      </c>
      <c r="F32">
        <v>103</v>
      </c>
      <c r="H32">
        <v>110</v>
      </c>
      <c r="I32">
        <v>1320</v>
      </c>
    </row>
    <row r="33" spans="2:9" x14ac:dyDescent="0.2">
      <c r="B33">
        <v>88544</v>
      </c>
      <c r="C33" s="23">
        <v>43395</v>
      </c>
      <c r="D33" t="s">
        <v>118</v>
      </c>
      <c r="E33">
        <v>8040</v>
      </c>
      <c r="F33">
        <v>107</v>
      </c>
      <c r="H33">
        <v>770</v>
      </c>
      <c r="I33">
        <v>3850</v>
      </c>
    </row>
    <row r="34" spans="2:9" x14ac:dyDescent="0.2">
      <c r="B34">
        <v>88544</v>
      </c>
      <c r="C34" s="23">
        <v>43395</v>
      </c>
      <c r="D34" t="s">
        <v>117</v>
      </c>
      <c r="E34">
        <v>8040</v>
      </c>
      <c r="F34">
        <v>120</v>
      </c>
      <c r="H34">
        <v>300</v>
      </c>
      <c r="I34">
        <v>17400</v>
      </c>
    </row>
    <row r="35" spans="2:9" x14ac:dyDescent="0.2">
      <c r="B35">
        <v>88666</v>
      </c>
      <c r="C35" s="23">
        <v>43399</v>
      </c>
      <c r="D35" t="s">
        <v>116</v>
      </c>
      <c r="E35">
        <v>8030</v>
      </c>
      <c r="F35">
        <v>119</v>
      </c>
      <c r="H35">
        <v>330</v>
      </c>
      <c r="I35">
        <v>20460</v>
      </c>
    </row>
    <row r="36" spans="2:9" x14ac:dyDescent="0.2">
      <c r="B36">
        <v>88666</v>
      </c>
      <c r="C36" s="23">
        <v>43399</v>
      </c>
      <c r="D36" t="s">
        <v>114</v>
      </c>
      <c r="E36">
        <v>8030</v>
      </c>
      <c r="F36">
        <v>107</v>
      </c>
      <c r="H36">
        <v>460</v>
      </c>
      <c r="I36">
        <v>2300</v>
      </c>
    </row>
    <row r="37" spans="2:9" x14ac:dyDescent="0.2">
      <c r="B37">
        <v>88666</v>
      </c>
      <c r="C37" s="23">
        <v>43399</v>
      </c>
      <c r="D37" t="s">
        <v>108</v>
      </c>
      <c r="E37">
        <v>8030</v>
      </c>
      <c r="F37">
        <v>105</v>
      </c>
      <c r="G37">
        <v>1</v>
      </c>
      <c r="H37">
        <v>470</v>
      </c>
      <c r="I37">
        <v>4700</v>
      </c>
    </row>
    <row r="38" spans="2:9" x14ac:dyDescent="0.2">
      <c r="B38">
        <v>88666</v>
      </c>
      <c r="C38" s="23">
        <v>43399</v>
      </c>
      <c r="D38" t="s">
        <v>115</v>
      </c>
      <c r="E38">
        <v>8030</v>
      </c>
      <c r="F38">
        <v>115</v>
      </c>
      <c r="H38">
        <v>390</v>
      </c>
      <c r="I38">
        <v>2340</v>
      </c>
    </row>
    <row r="39" spans="2:9" x14ac:dyDescent="0.2">
      <c r="B39">
        <v>88666</v>
      </c>
      <c r="C39" s="23">
        <v>43399</v>
      </c>
      <c r="D39" t="s">
        <v>113</v>
      </c>
      <c r="E39">
        <v>8030</v>
      </c>
      <c r="F39">
        <v>116</v>
      </c>
      <c r="H39">
        <v>260</v>
      </c>
      <c r="I39">
        <v>1560</v>
      </c>
    </row>
    <row r="40" spans="2:9" x14ac:dyDescent="0.2">
      <c r="C40" s="23"/>
    </row>
    <row r="41" spans="2:9" x14ac:dyDescent="0.2">
      <c r="C41" s="23"/>
    </row>
    <row r="42" spans="2:9" x14ac:dyDescent="0.2">
      <c r="C42" s="23"/>
    </row>
    <row r="43" spans="2:9" x14ac:dyDescent="0.2">
      <c r="C43" s="23"/>
    </row>
    <row r="44" spans="2:9" x14ac:dyDescent="0.2">
      <c r="C44" s="23"/>
    </row>
    <row r="45" spans="2:9" x14ac:dyDescent="0.2">
      <c r="C45" s="2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P55"/>
  <sheetViews>
    <sheetView topLeftCell="A19" workbookViewId="0">
      <selection activeCell="C32" sqref="C32"/>
    </sheetView>
  </sheetViews>
  <sheetFormatPr defaultColWidth="0" defaultRowHeight="12.75" zeroHeight="1" x14ac:dyDescent="0.2"/>
  <cols>
    <col min="1" max="1" width="1.42578125" style="13" customWidth="1"/>
    <col min="2" max="2" width="3.140625" style="13" customWidth="1"/>
    <col min="3" max="13" width="9.140625" style="13" customWidth="1"/>
    <col min="14" max="14" width="12.5703125" style="13" customWidth="1"/>
    <col min="15" max="15" width="2.28515625" style="13" customWidth="1"/>
    <col min="16" max="16" width="2.5703125" style="13" customWidth="1"/>
    <col min="17" max="16384" width="9" hidden="1"/>
  </cols>
  <sheetData>
    <row r="1" spans="1:16" x14ac:dyDescent="0.2">
      <c r="A1" s="8"/>
      <c r="B1" s="8"/>
      <c r="C1" s="8"/>
      <c r="D1" s="8"/>
      <c r="E1" s="8"/>
      <c r="F1" s="8"/>
      <c r="G1" s="8"/>
      <c r="H1" s="8"/>
      <c r="I1" s="8"/>
      <c r="J1" s="8"/>
      <c r="K1" s="8"/>
      <c r="L1" s="8"/>
      <c r="M1" s="8"/>
      <c r="N1" s="8"/>
      <c r="O1" s="8"/>
      <c r="P1" s="8"/>
    </row>
    <row r="2" spans="1:16" x14ac:dyDescent="0.2">
      <c r="A2" s="8"/>
      <c r="B2" s="8"/>
      <c r="C2" s="8"/>
      <c r="D2" s="8"/>
      <c r="E2" s="8"/>
      <c r="F2" s="8"/>
      <c r="G2" s="8"/>
      <c r="H2" s="8"/>
      <c r="I2" s="8"/>
      <c r="J2" s="8"/>
      <c r="K2" s="8"/>
      <c r="L2" s="8"/>
      <c r="M2" s="8"/>
      <c r="N2" s="8"/>
      <c r="O2" s="8"/>
      <c r="P2" s="8"/>
    </row>
    <row r="3" spans="1:16" x14ac:dyDescent="0.2">
      <c r="A3" s="8"/>
      <c r="B3" s="8"/>
      <c r="C3" s="8"/>
      <c r="D3" s="8"/>
      <c r="E3" s="8"/>
      <c r="F3" s="8"/>
      <c r="G3" s="8"/>
      <c r="H3" s="8"/>
      <c r="I3" s="8"/>
      <c r="J3" s="8"/>
      <c r="K3" s="8"/>
      <c r="L3" s="8"/>
      <c r="M3" s="8"/>
      <c r="N3" s="8"/>
      <c r="O3" s="8"/>
      <c r="P3" s="8"/>
    </row>
    <row r="4" spans="1:16" x14ac:dyDescent="0.2">
      <c r="A4" s="8"/>
      <c r="B4" s="9"/>
      <c r="C4" s="9"/>
      <c r="D4" s="9"/>
      <c r="E4" s="9"/>
      <c r="F4" s="9"/>
      <c r="G4" s="9"/>
      <c r="H4" s="9"/>
      <c r="I4" s="9"/>
      <c r="J4" s="9"/>
      <c r="K4" s="9"/>
      <c r="L4" s="9"/>
      <c r="M4" s="9"/>
      <c r="N4" s="9"/>
      <c r="O4" s="8"/>
      <c r="P4" s="8"/>
    </row>
    <row r="5" spans="1:16" ht="18" x14ac:dyDescent="0.25">
      <c r="A5" s="8"/>
      <c r="B5" s="10"/>
      <c r="C5" s="11" t="s">
        <v>71</v>
      </c>
      <c r="D5" s="12"/>
      <c r="E5" s="12"/>
      <c r="F5" s="12"/>
      <c r="G5" s="12"/>
      <c r="H5" s="12"/>
      <c r="I5" s="12"/>
      <c r="J5" s="12"/>
      <c r="K5" s="12"/>
      <c r="L5" s="12"/>
      <c r="M5" s="12"/>
      <c r="N5" s="12"/>
      <c r="O5" s="8"/>
      <c r="P5" s="8"/>
    </row>
    <row r="6" spans="1:16" x14ac:dyDescent="0.2">
      <c r="A6" s="8"/>
      <c r="B6" s="12"/>
      <c r="C6" s="12"/>
      <c r="D6" s="12"/>
      <c r="E6" s="12"/>
      <c r="F6" s="12"/>
      <c r="G6" s="12"/>
      <c r="H6" s="12"/>
      <c r="I6" s="12"/>
      <c r="J6" s="12"/>
      <c r="K6" s="12"/>
      <c r="L6" s="12"/>
      <c r="M6" s="12"/>
      <c r="N6" s="12"/>
      <c r="O6" s="8"/>
      <c r="P6" s="8"/>
    </row>
    <row r="7" spans="1:16" x14ac:dyDescent="0.2">
      <c r="A7" s="8"/>
      <c r="B7" s="12"/>
      <c r="C7" s="16" t="s">
        <v>77</v>
      </c>
      <c r="D7" s="12"/>
      <c r="E7" s="12"/>
      <c r="F7" s="12"/>
      <c r="G7" s="12"/>
      <c r="H7" s="12"/>
      <c r="I7" s="12"/>
      <c r="J7" s="12"/>
      <c r="K7" s="12"/>
      <c r="L7" s="12"/>
      <c r="M7" s="12"/>
      <c r="N7" s="12"/>
      <c r="O7" s="8"/>
      <c r="P7" s="8"/>
    </row>
    <row r="8" spans="1:16" x14ac:dyDescent="0.2">
      <c r="A8" s="8"/>
      <c r="B8" s="12"/>
      <c r="C8" s="16" t="s">
        <v>78</v>
      </c>
      <c r="D8" s="12"/>
      <c r="E8" s="12"/>
      <c r="F8" s="12"/>
      <c r="G8" s="12"/>
      <c r="H8" s="12"/>
      <c r="I8" s="12"/>
      <c r="J8" s="12"/>
      <c r="K8" s="12"/>
      <c r="L8" s="12"/>
      <c r="M8" s="12"/>
      <c r="N8" s="12"/>
      <c r="O8" s="8"/>
      <c r="P8" s="8"/>
    </row>
    <row r="9" spans="1:16" x14ac:dyDescent="0.2">
      <c r="A9" s="8"/>
      <c r="B9" s="12"/>
      <c r="C9" s="16" t="s">
        <v>79</v>
      </c>
      <c r="D9" s="12"/>
      <c r="E9" s="12"/>
      <c r="F9" s="12"/>
      <c r="G9" s="12"/>
      <c r="H9" s="12"/>
      <c r="I9" s="12"/>
      <c r="J9" s="12"/>
      <c r="K9" s="12"/>
      <c r="L9" s="12"/>
      <c r="M9" s="12"/>
      <c r="N9" s="12"/>
      <c r="O9" s="8"/>
      <c r="P9" s="8"/>
    </row>
    <row r="10" spans="1:16" x14ac:dyDescent="0.2">
      <c r="A10" s="8"/>
      <c r="B10" s="12"/>
      <c r="C10" s="16" t="s">
        <v>84</v>
      </c>
      <c r="D10" s="12"/>
      <c r="E10" s="12"/>
      <c r="F10" s="12"/>
      <c r="G10" s="12"/>
      <c r="H10" s="12"/>
      <c r="I10" s="12"/>
      <c r="J10" s="12"/>
      <c r="K10" s="12"/>
      <c r="L10" s="12"/>
      <c r="M10" s="12"/>
      <c r="N10" s="12"/>
      <c r="O10" s="8"/>
      <c r="P10" s="8"/>
    </row>
    <row r="11" spans="1:16" x14ac:dyDescent="0.2">
      <c r="A11" s="8"/>
      <c r="B11" s="12"/>
      <c r="C11" s="19" t="s">
        <v>62</v>
      </c>
      <c r="D11" s="12"/>
      <c r="E11" s="12"/>
      <c r="F11" s="12"/>
      <c r="G11" s="12"/>
      <c r="H11" s="12"/>
      <c r="I11" s="12"/>
      <c r="J11" s="12"/>
      <c r="K11" s="12"/>
      <c r="L11" s="12"/>
      <c r="M11" s="12"/>
      <c r="N11" s="12"/>
      <c r="O11" s="8"/>
      <c r="P11" s="8"/>
    </row>
    <row r="12" spans="1:16" x14ac:dyDescent="0.2">
      <c r="A12" s="8"/>
      <c r="B12" s="12"/>
      <c r="C12" s="19" t="s">
        <v>82</v>
      </c>
      <c r="D12" s="12"/>
      <c r="E12" s="12"/>
      <c r="F12" s="12"/>
      <c r="G12" s="12"/>
      <c r="H12" s="12"/>
      <c r="I12" s="12"/>
      <c r="J12" s="12"/>
      <c r="K12" s="12"/>
      <c r="L12" s="12"/>
      <c r="M12" s="12"/>
      <c r="N12" s="12"/>
      <c r="O12" s="8"/>
      <c r="P12" s="8"/>
    </row>
    <row r="13" spans="1:16" x14ac:dyDescent="0.2">
      <c r="A13" s="8"/>
      <c r="B13" s="12"/>
      <c r="C13" s="16" t="s">
        <v>83</v>
      </c>
      <c r="D13" s="12"/>
      <c r="E13" s="12"/>
      <c r="F13" s="12"/>
      <c r="G13" s="12"/>
      <c r="H13" s="12"/>
      <c r="I13" s="12"/>
      <c r="J13" s="12"/>
      <c r="K13" s="12"/>
      <c r="L13" s="12"/>
      <c r="M13" s="12"/>
      <c r="N13" s="12"/>
      <c r="O13" s="8"/>
      <c r="P13" s="8"/>
    </row>
    <row r="14" spans="1:16" x14ac:dyDescent="0.2">
      <c r="A14" s="8"/>
      <c r="B14" s="12"/>
      <c r="C14" s="12"/>
      <c r="D14" s="12"/>
      <c r="E14" s="12"/>
      <c r="F14" s="12"/>
      <c r="G14" s="12"/>
      <c r="H14" s="12"/>
      <c r="I14" s="12"/>
      <c r="J14" s="12"/>
      <c r="K14" s="12"/>
      <c r="L14" s="12"/>
      <c r="M14" s="12"/>
      <c r="N14" s="12"/>
      <c r="O14" s="8"/>
      <c r="P14" s="8"/>
    </row>
    <row r="15" spans="1:16" ht="18" x14ac:dyDescent="0.25">
      <c r="A15" s="8"/>
      <c r="B15" s="12"/>
      <c r="C15" s="11" t="s">
        <v>57</v>
      </c>
      <c r="D15" s="12"/>
      <c r="E15" s="12"/>
      <c r="F15" s="12"/>
      <c r="G15" s="12"/>
      <c r="H15" s="12"/>
      <c r="I15" s="12"/>
      <c r="J15" s="12"/>
      <c r="K15" s="12"/>
      <c r="L15" s="12"/>
      <c r="M15" s="12"/>
      <c r="N15" s="12"/>
      <c r="O15" s="8"/>
      <c r="P15" s="8"/>
    </row>
    <row r="16" spans="1:16" x14ac:dyDescent="0.2">
      <c r="A16" s="8"/>
      <c r="B16" s="12"/>
      <c r="C16" s="12"/>
      <c r="D16" s="12"/>
      <c r="E16" s="12"/>
      <c r="F16" s="12"/>
      <c r="G16" s="12"/>
      <c r="H16" s="12"/>
      <c r="I16" s="12"/>
      <c r="J16" s="12"/>
      <c r="K16" s="12"/>
      <c r="L16" s="12"/>
      <c r="M16" s="12"/>
      <c r="N16" s="12"/>
      <c r="O16" s="8"/>
      <c r="P16" s="8"/>
    </row>
    <row r="17" spans="1:16" x14ac:dyDescent="0.2">
      <c r="A17" s="8"/>
      <c r="B17" s="12"/>
      <c r="C17" s="12" t="s">
        <v>80</v>
      </c>
      <c r="D17" s="12"/>
      <c r="E17" s="12"/>
      <c r="F17" s="12"/>
      <c r="G17" s="12"/>
      <c r="H17" s="12"/>
      <c r="I17" s="12"/>
      <c r="J17" s="12"/>
      <c r="K17" s="12"/>
      <c r="L17" s="12"/>
      <c r="M17" s="12"/>
      <c r="N17" s="12"/>
      <c r="O17" s="8"/>
      <c r="P17" s="8"/>
    </row>
    <row r="18" spans="1:16" x14ac:dyDescent="0.2">
      <c r="A18" s="8"/>
      <c r="B18" s="14"/>
      <c r="C18" s="12" t="s">
        <v>63</v>
      </c>
      <c r="D18" s="14"/>
      <c r="E18" s="14"/>
      <c r="F18" s="14"/>
      <c r="G18" s="12"/>
      <c r="H18" s="12"/>
      <c r="I18" s="12"/>
      <c r="J18" s="12"/>
      <c r="K18" s="12"/>
      <c r="L18" s="12"/>
      <c r="M18" s="12"/>
      <c r="N18" s="12"/>
      <c r="O18" s="8"/>
      <c r="P18" s="8"/>
    </row>
    <row r="19" spans="1:16" x14ac:dyDescent="0.2">
      <c r="A19" s="8"/>
      <c r="B19" s="9"/>
      <c r="C19" s="12" t="s">
        <v>64</v>
      </c>
      <c r="D19" s="15"/>
      <c r="E19" s="9"/>
      <c r="F19" s="9"/>
      <c r="G19" s="12"/>
      <c r="H19" s="12"/>
      <c r="I19" s="12"/>
      <c r="J19" s="12"/>
      <c r="K19" s="12"/>
      <c r="L19" s="12"/>
      <c r="M19" s="12"/>
      <c r="N19" s="12"/>
      <c r="O19" s="8"/>
      <c r="P19" s="8"/>
    </row>
    <row r="20" spans="1:16" x14ac:dyDescent="0.2">
      <c r="A20" s="8"/>
      <c r="B20" s="12"/>
      <c r="C20" s="12" t="s">
        <v>68</v>
      </c>
      <c r="D20" s="16"/>
      <c r="E20" s="12"/>
      <c r="F20" s="12"/>
      <c r="G20" s="12"/>
      <c r="H20" s="12"/>
      <c r="I20" s="12"/>
      <c r="J20" s="12"/>
      <c r="K20" s="12"/>
      <c r="L20" s="12"/>
      <c r="M20" s="12"/>
      <c r="N20" s="12"/>
      <c r="O20" s="8"/>
      <c r="P20" s="8"/>
    </row>
    <row r="21" spans="1:16" x14ac:dyDescent="0.2">
      <c r="A21" s="8"/>
      <c r="B21" s="12"/>
      <c r="C21" s="12" t="s">
        <v>67</v>
      </c>
      <c r="D21" s="12"/>
      <c r="E21" s="12"/>
      <c r="F21" s="12"/>
      <c r="G21" s="12"/>
      <c r="H21" s="12"/>
      <c r="I21" s="12"/>
      <c r="J21" s="12"/>
      <c r="K21" s="12"/>
      <c r="L21" s="12"/>
      <c r="M21" s="12"/>
      <c r="N21" s="12"/>
      <c r="O21" s="8"/>
      <c r="P21" s="8"/>
    </row>
    <row r="22" spans="1:16" x14ac:dyDescent="0.2">
      <c r="A22" s="8"/>
      <c r="B22" s="12"/>
      <c r="C22" s="12" t="s">
        <v>65</v>
      </c>
      <c r="D22" s="12"/>
      <c r="E22" s="12"/>
      <c r="F22" s="12"/>
      <c r="G22" s="12"/>
      <c r="H22" s="12"/>
      <c r="I22" s="12"/>
      <c r="J22" s="12"/>
      <c r="K22" s="12"/>
      <c r="L22" s="12"/>
      <c r="M22" s="12"/>
      <c r="N22" s="12"/>
      <c r="O22" s="8"/>
      <c r="P22" s="8"/>
    </row>
    <row r="23" spans="1:16" x14ac:dyDescent="0.2">
      <c r="A23" s="8"/>
      <c r="B23" s="12"/>
      <c r="C23" s="12" t="s">
        <v>66</v>
      </c>
      <c r="D23" s="12"/>
      <c r="E23" s="12"/>
      <c r="F23" s="12"/>
      <c r="G23" s="12"/>
      <c r="H23" s="12"/>
      <c r="I23" s="12"/>
      <c r="J23" s="12"/>
      <c r="K23" s="12"/>
      <c r="L23" s="12"/>
      <c r="M23" s="12"/>
      <c r="N23" s="12"/>
      <c r="O23" s="8"/>
      <c r="P23" s="8"/>
    </row>
    <row r="24" spans="1:16" x14ac:dyDescent="0.2">
      <c r="A24" s="8"/>
      <c r="B24" s="12"/>
      <c r="C24" s="12" t="s">
        <v>69</v>
      </c>
      <c r="D24" s="16"/>
      <c r="E24" s="12"/>
      <c r="F24" s="12"/>
      <c r="G24" s="12"/>
      <c r="H24" s="12"/>
      <c r="I24" s="12"/>
      <c r="J24" s="12"/>
      <c r="K24" s="12"/>
      <c r="L24" s="12"/>
      <c r="M24" s="12"/>
      <c r="N24" s="12"/>
      <c r="O24" s="8"/>
      <c r="P24" s="8"/>
    </row>
    <row r="25" spans="1:16" x14ac:dyDescent="0.2">
      <c r="A25" s="8"/>
      <c r="B25" s="12"/>
      <c r="C25" s="18" t="s">
        <v>70</v>
      </c>
      <c r="D25" s="16"/>
      <c r="E25" s="12"/>
      <c r="F25" s="12"/>
      <c r="G25" s="12"/>
      <c r="H25" s="12"/>
      <c r="I25" s="12"/>
      <c r="J25" s="12"/>
      <c r="K25" s="12"/>
      <c r="L25" s="12"/>
      <c r="M25" s="12"/>
      <c r="N25" s="12"/>
      <c r="O25" s="8"/>
      <c r="P25" s="8"/>
    </row>
    <row r="26" spans="1:16" x14ac:dyDescent="0.2">
      <c r="A26" s="8"/>
      <c r="B26" s="12"/>
      <c r="C26" s="12"/>
      <c r="D26" s="12"/>
      <c r="E26" s="12"/>
      <c r="F26" s="12"/>
      <c r="G26" s="12"/>
      <c r="H26" s="12"/>
      <c r="I26" s="12"/>
      <c r="J26" s="12"/>
      <c r="K26" s="12"/>
      <c r="L26" s="12"/>
      <c r="M26" s="12"/>
      <c r="N26" s="12"/>
      <c r="O26" s="8"/>
      <c r="P26" s="8"/>
    </row>
    <row r="27" spans="1:16" x14ac:dyDescent="0.2">
      <c r="A27" s="8"/>
      <c r="B27" s="12"/>
      <c r="C27" s="12"/>
      <c r="D27" s="12"/>
      <c r="E27" s="12"/>
      <c r="F27" s="12"/>
      <c r="G27" s="12"/>
      <c r="H27" s="12"/>
      <c r="I27" s="12"/>
      <c r="J27" s="12"/>
      <c r="K27" s="12"/>
      <c r="L27" s="12"/>
      <c r="M27" s="12"/>
      <c r="N27" s="12"/>
      <c r="O27" s="8"/>
      <c r="P27" s="8"/>
    </row>
    <row r="28" spans="1:16" ht="18" x14ac:dyDescent="0.25">
      <c r="A28" s="8"/>
      <c r="B28" s="12"/>
      <c r="C28" s="11" t="s">
        <v>56</v>
      </c>
      <c r="D28" s="12"/>
      <c r="E28" s="12"/>
      <c r="F28" s="12"/>
      <c r="G28" s="12"/>
      <c r="H28" s="12"/>
      <c r="I28" s="12"/>
      <c r="J28" s="12"/>
      <c r="K28" s="12"/>
      <c r="L28" s="12"/>
      <c r="M28" s="12"/>
      <c r="N28" s="12"/>
      <c r="O28" s="8"/>
      <c r="P28" s="8"/>
    </row>
    <row r="29" spans="1:16" x14ac:dyDescent="0.2">
      <c r="A29" s="8"/>
      <c r="B29" s="12"/>
      <c r="C29" s="12"/>
      <c r="D29" s="12"/>
      <c r="E29" s="12"/>
      <c r="F29" s="12"/>
      <c r="G29" s="12"/>
      <c r="H29" s="12"/>
      <c r="I29" s="12"/>
      <c r="J29" s="12"/>
      <c r="K29" s="12"/>
      <c r="L29" s="12"/>
      <c r="M29" s="12"/>
      <c r="N29" s="12"/>
      <c r="O29" s="8"/>
      <c r="P29" s="8"/>
    </row>
    <row r="30" spans="1:16" x14ac:dyDescent="0.2">
      <c r="A30" s="8"/>
      <c r="B30" s="12"/>
      <c r="C30" s="12" t="s">
        <v>72</v>
      </c>
      <c r="D30" s="12"/>
      <c r="E30" s="12"/>
      <c r="F30" s="12"/>
      <c r="G30" s="12"/>
      <c r="H30" s="12"/>
      <c r="I30" s="12"/>
      <c r="J30" s="12"/>
      <c r="K30" s="12"/>
      <c r="L30" s="12"/>
      <c r="M30" s="12"/>
      <c r="N30" s="12"/>
      <c r="O30" s="8"/>
      <c r="P30" s="8"/>
    </row>
    <row r="31" spans="1:16" x14ac:dyDescent="0.2">
      <c r="A31" s="8"/>
      <c r="B31" s="12"/>
      <c r="C31" s="12" t="s">
        <v>86</v>
      </c>
      <c r="D31" s="12"/>
      <c r="E31" s="12"/>
      <c r="F31" s="12"/>
      <c r="G31" s="12"/>
      <c r="H31" s="12"/>
      <c r="I31" s="12"/>
      <c r="J31" s="12"/>
      <c r="K31" s="12"/>
      <c r="L31" s="12"/>
      <c r="M31" s="12"/>
      <c r="N31" s="12"/>
      <c r="O31" s="8"/>
      <c r="P31" s="8"/>
    </row>
    <row r="32" spans="1:16" x14ac:dyDescent="0.2">
      <c r="A32" s="8"/>
      <c r="B32" s="12"/>
      <c r="C32" s="13" t="s">
        <v>87</v>
      </c>
      <c r="D32" s="12"/>
      <c r="E32" s="12"/>
      <c r="F32" s="12"/>
      <c r="G32" s="12"/>
      <c r="H32" s="12"/>
      <c r="I32" s="12"/>
      <c r="J32" s="12"/>
      <c r="K32" s="12"/>
      <c r="L32" s="12"/>
      <c r="M32" s="12"/>
      <c r="N32" s="12"/>
      <c r="O32" s="8"/>
      <c r="P32" s="8"/>
    </row>
    <row r="33" spans="1:16" x14ac:dyDescent="0.2">
      <c r="A33" s="8"/>
      <c r="B33" s="12"/>
      <c r="C33" s="12" t="s">
        <v>74</v>
      </c>
      <c r="D33" s="12"/>
      <c r="E33" s="12"/>
      <c r="F33" s="12"/>
      <c r="G33" s="12"/>
      <c r="H33" s="12"/>
      <c r="I33" s="12"/>
      <c r="J33" s="12"/>
      <c r="K33" s="12"/>
      <c r="L33" s="12"/>
      <c r="M33" s="12"/>
      <c r="N33" s="12"/>
      <c r="O33" s="8"/>
      <c r="P33" s="8"/>
    </row>
    <row r="34" spans="1:16" x14ac:dyDescent="0.2">
      <c r="A34" s="8"/>
      <c r="B34" s="12"/>
      <c r="D34" s="12"/>
      <c r="E34" s="12"/>
      <c r="F34" s="12"/>
      <c r="G34" s="12"/>
      <c r="H34" s="12"/>
      <c r="I34" s="12"/>
      <c r="J34" s="12"/>
      <c r="K34" s="12"/>
      <c r="L34" s="12"/>
      <c r="M34" s="12"/>
      <c r="N34" s="12"/>
      <c r="O34" s="8"/>
      <c r="P34" s="8"/>
    </row>
    <row r="35" spans="1:16" x14ac:dyDescent="0.2">
      <c r="A35" s="8"/>
      <c r="B35" s="12"/>
      <c r="C35" s="14"/>
      <c r="D35" s="12"/>
      <c r="E35" s="12"/>
      <c r="F35" s="12"/>
      <c r="G35" s="12"/>
      <c r="H35" s="12"/>
      <c r="I35" s="12"/>
      <c r="J35" s="12"/>
      <c r="K35" s="12"/>
      <c r="L35" s="12"/>
      <c r="M35" s="12"/>
      <c r="N35" s="12"/>
      <c r="O35" s="8"/>
      <c r="P35" s="8"/>
    </row>
    <row r="36" spans="1:16" x14ac:dyDescent="0.2">
      <c r="A36" s="8"/>
      <c r="B36" s="12"/>
      <c r="C36" s="20" t="s">
        <v>73</v>
      </c>
      <c r="D36" s="16"/>
      <c r="E36" s="12"/>
      <c r="F36" s="12"/>
      <c r="G36" s="12"/>
      <c r="H36" s="12"/>
      <c r="I36" s="12"/>
      <c r="J36" s="12"/>
      <c r="K36" s="12"/>
      <c r="L36" s="12"/>
      <c r="M36" s="12"/>
      <c r="N36" s="12"/>
      <c r="O36" s="8"/>
      <c r="P36" s="8"/>
    </row>
    <row r="37" spans="1:16" x14ac:dyDescent="0.2">
      <c r="A37" s="8"/>
      <c r="B37" s="12"/>
      <c r="C37" s="12"/>
      <c r="D37" s="16"/>
      <c r="E37" s="12"/>
      <c r="F37" s="12"/>
      <c r="G37" s="12"/>
      <c r="H37" s="12"/>
      <c r="I37" s="12"/>
      <c r="J37" s="12"/>
      <c r="K37" s="12"/>
      <c r="L37" s="12"/>
      <c r="M37" s="12"/>
      <c r="N37" s="12"/>
      <c r="O37" s="8"/>
      <c r="P37" s="8"/>
    </row>
    <row r="38" spans="1:16" ht="14.25" x14ac:dyDescent="0.2">
      <c r="A38" s="8"/>
      <c r="B38" s="12"/>
      <c r="C38" s="22" t="s">
        <v>85</v>
      </c>
      <c r="D38" s="12"/>
      <c r="E38" s="12"/>
      <c r="F38" s="12"/>
      <c r="G38" s="12"/>
      <c r="H38" s="12"/>
      <c r="I38" s="12"/>
      <c r="J38" s="12"/>
      <c r="K38" s="12"/>
      <c r="L38" s="12"/>
      <c r="M38" s="12"/>
      <c r="N38" s="12"/>
      <c r="O38" s="8"/>
      <c r="P38" s="8"/>
    </row>
    <row r="39" spans="1:16" ht="14.25" x14ac:dyDescent="0.2">
      <c r="A39" s="8"/>
      <c r="B39" s="12"/>
      <c r="C39" s="21" t="s">
        <v>76</v>
      </c>
      <c r="D39" s="12"/>
      <c r="E39" s="12"/>
      <c r="F39" s="12"/>
      <c r="G39" s="12"/>
      <c r="H39" s="12"/>
      <c r="I39" s="12"/>
      <c r="J39" s="12"/>
      <c r="K39" s="12"/>
      <c r="L39" s="12"/>
      <c r="M39" s="12"/>
      <c r="N39" s="12"/>
      <c r="O39" s="8"/>
      <c r="P39" s="8"/>
    </row>
    <row r="40" spans="1:16" ht="14.25" x14ac:dyDescent="0.2">
      <c r="A40" s="8"/>
      <c r="B40" s="12"/>
      <c r="C40" s="21" t="s">
        <v>75</v>
      </c>
      <c r="D40" s="12"/>
      <c r="E40" s="12"/>
      <c r="F40" s="12"/>
      <c r="G40" s="12"/>
      <c r="H40" s="12"/>
      <c r="I40" s="12"/>
      <c r="J40" s="12"/>
      <c r="K40" s="12"/>
      <c r="L40" s="12"/>
      <c r="M40" s="12"/>
      <c r="N40" s="12"/>
      <c r="O40" s="8"/>
      <c r="P40" s="8"/>
    </row>
    <row r="41" spans="1:16" x14ac:dyDescent="0.2">
      <c r="A41" s="8"/>
      <c r="B41" s="12"/>
      <c r="C41" s="12"/>
      <c r="D41" s="16"/>
      <c r="E41" s="12"/>
      <c r="F41" s="12"/>
      <c r="G41" s="12"/>
      <c r="H41" s="12"/>
      <c r="I41" s="12"/>
      <c r="J41" s="12"/>
      <c r="K41" s="12"/>
      <c r="L41" s="12"/>
      <c r="M41" s="12"/>
      <c r="N41" s="12"/>
      <c r="O41" s="8"/>
      <c r="P41" s="8"/>
    </row>
    <row r="42" spans="1:16" x14ac:dyDescent="0.2">
      <c r="A42" s="8"/>
      <c r="B42" s="12"/>
      <c r="C42" s="12"/>
      <c r="D42" s="12"/>
      <c r="E42" s="12"/>
      <c r="F42" s="12"/>
      <c r="G42" s="12"/>
      <c r="H42" s="12"/>
      <c r="I42" s="12"/>
      <c r="J42" s="12"/>
      <c r="K42" s="12"/>
      <c r="L42" s="12"/>
      <c r="M42" s="12"/>
      <c r="N42" s="12"/>
      <c r="O42" s="8"/>
      <c r="P42" s="8"/>
    </row>
    <row r="43" spans="1:16" x14ac:dyDescent="0.2">
      <c r="A43" s="8"/>
      <c r="B43" s="12"/>
      <c r="C43" s="12"/>
      <c r="D43" s="12"/>
      <c r="E43" s="12"/>
      <c r="F43" s="12"/>
      <c r="G43" s="12"/>
      <c r="H43" s="12"/>
      <c r="I43" s="12"/>
      <c r="J43" s="12"/>
      <c r="K43" s="12"/>
      <c r="L43" s="12"/>
      <c r="M43" s="12"/>
      <c r="N43" s="12"/>
      <c r="O43" s="8"/>
      <c r="P43" s="8"/>
    </row>
    <row r="44" spans="1:16" ht="18" x14ac:dyDescent="0.25">
      <c r="A44" s="8"/>
      <c r="B44" s="12"/>
      <c r="C44" s="11"/>
      <c r="D44" s="12"/>
      <c r="E44" s="12"/>
      <c r="F44" s="12"/>
      <c r="G44" s="12"/>
      <c r="H44" s="12"/>
      <c r="I44" s="12"/>
      <c r="J44" s="12"/>
      <c r="K44" s="12"/>
      <c r="L44" s="12"/>
      <c r="M44" s="12"/>
      <c r="N44" s="12"/>
      <c r="O44" s="8"/>
      <c r="P44" s="8"/>
    </row>
    <row r="45" spans="1:16" x14ac:dyDescent="0.2">
      <c r="A45" s="8"/>
      <c r="B45" s="12"/>
      <c r="C45" s="12"/>
      <c r="D45" s="12"/>
      <c r="E45" s="12"/>
      <c r="F45" s="12"/>
      <c r="G45" s="12"/>
      <c r="H45" s="12"/>
      <c r="I45" s="12"/>
      <c r="J45" s="12"/>
      <c r="K45" s="12"/>
      <c r="L45" s="12"/>
      <c r="M45" s="12"/>
      <c r="N45" s="12"/>
      <c r="O45" s="8"/>
      <c r="P45" s="8"/>
    </row>
    <row r="46" spans="1:16" x14ac:dyDescent="0.2">
      <c r="A46" s="8"/>
      <c r="B46" s="12"/>
      <c r="C46" s="12"/>
      <c r="D46" s="12"/>
      <c r="E46" s="12"/>
      <c r="F46" s="12"/>
      <c r="G46" s="12"/>
      <c r="H46" s="12"/>
      <c r="I46" s="12"/>
      <c r="J46" s="12"/>
      <c r="K46" s="12"/>
      <c r="L46" s="12"/>
      <c r="M46" s="12"/>
      <c r="N46" s="12"/>
      <c r="O46" s="8"/>
      <c r="P46" s="8"/>
    </row>
    <row r="47" spans="1:16" x14ac:dyDescent="0.2">
      <c r="A47" s="8"/>
      <c r="B47" s="12"/>
      <c r="C47" s="12"/>
      <c r="D47" s="12"/>
      <c r="E47" s="12"/>
      <c r="F47" s="12"/>
      <c r="G47" s="12"/>
      <c r="H47" s="12"/>
      <c r="I47" s="12"/>
      <c r="J47" s="12"/>
      <c r="K47" s="12"/>
      <c r="L47" s="12"/>
      <c r="M47" s="12"/>
      <c r="N47" s="12"/>
      <c r="O47" s="8"/>
      <c r="P47" s="8"/>
    </row>
    <row r="48" spans="1:16" x14ac:dyDescent="0.2">
      <c r="A48" s="8"/>
      <c r="B48" s="12"/>
      <c r="C48" s="12"/>
      <c r="D48" s="16"/>
      <c r="E48" s="12"/>
      <c r="F48" s="12"/>
      <c r="G48" s="12"/>
      <c r="H48" s="12"/>
      <c r="I48" s="12"/>
      <c r="J48" s="12"/>
      <c r="K48" s="12"/>
      <c r="L48" s="12"/>
      <c r="M48" s="12"/>
      <c r="N48" s="12"/>
      <c r="O48" s="8"/>
      <c r="P48" s="8"/>
    </row>
    <row r="49" spans="1:16" x14ac:dyDescent="0.2">
      <c r="A49" s="8"/>
      <c r="B49" s="12"/>
      <c r="C49" s="12"/>
      <c r="D49" s="12"/>
      <c r="E49" s="12"/>
      <c r="F49" s="12"/>
      <c r="G49" s="12"/>
      <c r="H49" s="12"/>
      <c r="I49" s="12"/>
      <c r="J49" s="12"/>
      <c r="K49" s="12"/>
      <c r="L49" s="12"/>
      <c r="M49" s="12"/>
      <c r="N49" s="12"/>
      <c r="O49" s="8"/>
      <c r="P49" s="8"/>
    </row>
    <row r="50" spans="1:16" ht="18" x14ac:dyDescent="0.25">
      <c r="A50" s="8"/>
      <c r="B50" s="12"/>
      <c r="C50" s="11"/>
      <c r="D50" s="12"/>
      <c r="E50" s="12"/>
      <c r="F50" s="12"/>
      <c r="G50" s="12"/>
      <c r="H50" s="12"/>
      <c r="I50" s="12"/>
      <c r="J50" s="12"/>
      <c r="K50" s="12"/>
      <c r="L50" s="12"/>
      <c r="M50" s="12"/>
      <c r="N50" s="12"/>
      <c r="O50" s="8"/>
      <c r="P50" s="8"/>
    </row>
    <row r="51" spans="1:16" x14ac:dyDescent="0.2">
      <c r="A51" s="8"/>
      <c r="B51" s="12"/>
      <c r="C51" s="12"/>
      <c r="D51" s="12"/>
      <c r="E51" s="12"/>
      <c r="F51" s="12"/>
      <c r="G51" s="12"/>
      <c r="H51" s="12"/>
      <c r="I51" s="12"/>
      <c r="J51" s="12"/>
      <c r="K51" s="12"/>
      <c r="L51" s="12"/>
      <c r="M51" s="12"/>
      <c r="N51" s="12"/>
      <c r="O51" s="8"/>
      <c r="P51" s="8"/>
    </row>
    <row r="52" spans="1:16" x14ac:dyDescent="0.2">
      <c r="A52" s="8"/>
      <c r="B52" s="12"/>
      <c r="C52" s="12"/>
      <c r="D52" s="12"/>
      <c r="E52" s="12"/>
      <c r="F52" s="12"/>
      <c r="G52" s="12"/>
      <c r="H52" s="12"/>
      <c r="I52" s="12"/>
      <c r="J52" s="12"/>
      <c r="K52" s="12"/>
      <c r="L52" s="12"/>
      <c r="M52" s="12"/>
      <c r="N52" s="12"/>
      <c r="O52" s="8"/>
      <c r="P52" s="8"/>
    </row>
    <row r="53" spans="1:16" x14ac:dyDescent="0.2">
      <c r="A53" s="8"/>
      <c r="B53" s="17"/>
      <c r="C53" s="17"/>
      <c r="D53" s="17"/>
      <c r="E53" s="17"/>
      <c r="F53" s="17"/>
      <c r="G53" s="17"/>
      <c r="H53" s="17"/>
      <c r="I53" s="17"/>
      <c r="J53" s="17"/>
      <c r="K53" s="17"/>
      <c r="L53" s="17"/>
      <c r="M53" s="17"/>
      <c r="N53" s="17"/>
      <c r="O53" s="8"/>
      <c r="P53" s="8"/>
    </row>
    <row r="54" spans="1:16" x14ac:dyDescent="0.2">
      <c r="A54" s="8"/>
      <c r="B54" s="8"/>
      <c r="C54" s="8"/>
      <c r="D54" s="8"/>
      <c r="E54" s="8"/>
      <c r="F54" s="8"/>
      <c r="G54" s="8"/>
      <c r="H54" s="8"/>
      <c r="I54" s="8"/>
      <c r="J54" s="8"/>
      <c r="K54" s="8"/>
      <c r="L54" s="8"/>
      <c r="M54" s="8"/>
      <c r="N54" s="8"/>
      <c r="O54" s="8"/>
      <c r="P54" s="8"/>
    </row>
    <row r="55" spans="1:16" x14ac:dyDescent="0.2">
      <c r="A55" s="8"/>
      <c r="B55" s="8"/>
      <c r="C55" s="8"/>
      <c r="D55" s="8"/>
      <c r="E55" s="8"/>
      <c r="F55" s="8"/>
      <c r="G55" s="8"/>
      <c r="H55" s="8"/>
      <c r="I55" s="8"/>
      <c r="J55" s="8"/>
      <c r="K55" s="8"/>
      <c r="L55" s="8"/>
      <c r="M55" s="8"/>
      <c r="N55" s="8"/>
      <c r="O55" s="8"/>
      <c r="P55" s="8"/>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Start</vt:lpstr>
      <vt:lpstr>RegionTemp</vt:lpstr>
      <vt:lpstr>Instructions</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GRANDPA-SENIOR</cp:lastModifiedBy>
  <dcterms:created xsi:type="dcterms:W3CDTF">2017-10-02T07:41:32Z</dcterms:created>
  <dcterms:modified xsi:type="dcterms:W3CDTF">2021-07-27T15:16:30Z</dcterms:modified>
</cp:coreProperties>
</file>